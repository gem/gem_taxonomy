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material" sheetId="2" r:id="rId5"/>
    <sheet state="visible" name="llrs" sheetId="3" r:id="rId6"/>
    <sheet state="visible" name="eq_design" sheetId="4" r:id="rId7"/>
    <sheet state="visible" name="wind_design" sheetId="5" r:id="rId8"/>
    <sheet state="visible" name="flood_design" sheetId="6" r:id="rId9"/>
    <sheet state="visible" name="others_design" sheetId="7" r:id="rId10"/>
    <sheet state="visible" name="height" sheetId="8" r:id="rId11"/>
    <sheet state="visible" name="dates" sheetId="9" r:id="rId12"/>
    <sheet state="visible" name="shape" sheetId="10" r:id="rId13"/>
    <sheet state="visible" name="irregularity" sheetId="11" r:id="rId14"/>
    <sheet state="visible" name="ext_walls" sheetId="12" r:id="rId15"/>
    <sheet state="visible" name="roof" sheetId="13" r:id="rId16"/>
    <sheet state="visible" name="floor" sheetId="14" r:id="rId17"/>
    <sheet state="visible" name="foundation" sheetId="15" r:id="rId18"/>
    <sheet state="visible" name="occupancy" sheetId="16"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53">
      <text>
        <t xml:space="preserve">@Matteo.Nastasi@globalquakemodel.org 
Can we please add this new atom to the taxonomy package?
_Assigned to Matteo.Nastasi@globalquakemodel.org_
	-Catalina YepesE</t>
      </text>
    </comment>
    <comment authorId="0" ref="D44">
      <text>
        <t xml:space="preserve">Move to "design"
	-Catalina YepesE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-Catalina YepesE</t>
      </text>
    </comment>
    <comment authorId="0" ref="E16">
      <text>
        <t xml:space="preserve">units of km/h are also commonly indicated
	-Catalina YepesE</t>
      </text>
    </comment>
    <comment authorId="0" ref="F16">
      <text>
        <t xml:space="preserve">Note that the windows protection requires specs for the openings
	-Catalina YepesE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4">
      <text>
        <t xml:space="preserve">@helen.crowley@globalquakemodel.org 
I'd like to include it. In the projects with WB for floods is requested.
What do you think?
_Assigned to helen.crowley@globalquakemodel.org_
	-Catalina YepesE
Doesn't this overlap with storeys below ground? That is what I used in the past when we had to include basements for flood
	-Helen Crowley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-Catalina YepesE
I will delete it
	-Catalina YepesE
Your solution LGTM
	-Helen Crowley</t>
      </text>
    </comment>
  </commentList>
</comments>
</file>

<file path=xl/sharedStrings.xml><?xml version="1.0" encoding="utf-8"?>
<sst xmlns="http://schemas.openxmlformats.org/spreadsheetml/2006/main" count="1337" uniqueCount="908">
  <si>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</si>
  <si>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</si>
  <si>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</si>
  <si>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</si>
  <si>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</si>
  <si>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</si>
  <si>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</si>
  <si>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</si>
  <si>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</si>
  <si>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</si>
  <si>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</si>
  <si>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</si>
  <si>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</si>
  <si>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</si>
  <si>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</si>
  <si>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</si>
  <si>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</si>
  <si>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flood sheet</t>
  </si>
  <si>
    <t>flood_design</t>
  </si>
  <si>
    <t>Flood design</t>
  </si>
  <si>
    <t>others_design</t>
  </si>
  <si>
    <t>Other hazards design</t>
  </si>
  <si>
    <t>others sheet</t>
  </si>
  <si>
    <t>height</t>
  </si>
  <si>
    <t>height sheet</t>
  </si>
  <si>
    <t>dates</t>
  </si>
  <si>
    <t>Date of Construction or Retrofit</t>
  </si>
  <si>
    <t>dates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</si>
  <si>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</si>
  <si>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</si>
  <si>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</si>
  <si>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</si>
  <si>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</si>
  <si>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</si>
  <si>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</si>
  <si>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</si>
  <si>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</si>
  <si>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</si>
  <si>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</si>
  <si>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</si>
  <si>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</si>
  <si>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</si>
  <si>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</si>
  <si>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</si>
  <si>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</si>
  <si>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</si>
  <si>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</si>
  <si>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</si>
  <si>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</si>
  <si>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</si>
  <si>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</si>
  <si>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</si>
  <si>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</si>
  <si>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</si>
  <si>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</si>
  <si>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</si>
  <si>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</si>
  <si>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</si>
  <si>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</si>
  <si>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</si>
  <si>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</si>
  <si>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</si>
  <si>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</si>
  <si>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</si>
  <si>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</si>
  <si>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</si>
  <si>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100</t>
  </si>
  <si>
    <t>CR</t>
  </si>
  <si>
    <t>Concrete, reinforced</t>
  </si>
  <si>
    <t>200</t>
  </si>
  <si>
    <t>SRC</t>
  </si>
  <si>
    <t>Concrete, composite with steel section</t>
  </si>
  <si>
    <t>300</t>
  </si>
  <si>
    <t>S</t>
  </si>
  <si>
    <t>Steel</t>
  </si>
  <si>
    <t>400</t>
  </si>
  <si>
    <t>ME</t>
  </si>
  <si>
    <t>Metal (except steel)</t>
  </si>
  <si>
    <t>500</t>
  </si>
  <si>
    <t>M</t>
  </si>
  <si>
    <t>Masonry, unknown reinforcement</t>
  </si>
  <si>
    <t>600</t>
  </si>
  <si>
    <t>MUR</t>
  </si>
  <si>
    <t>Masonry, unreinforced</t>
  </si>
  <si>
    <t>700</t>
  </si>
  <si>
    <t>MCF</t>
  </si>
  <si>
    <t>Masonry, confined</t>
  </si>
  <si>
    <t>800</t>
  </si>
  <si>
    <t>MR</t>
  </si>
  <si>
    <t>Masonry, reinforced</t>
  </si>
  <si>
    <t>900</t>
  </si>
  <si>
    <t>E</t>
  </si>
  <si>
    <t>Earth, unknown reinforcement</t>
  </si>
  <si>
    <t>1000</t>
  </si>
  <si>
    <t>EU</t>
  </si>
  <si>
    <t>Earth, unreinforced</t>
  </si>
  <si>
    <t>1100</t>
  </si>
  <si>
    <t>ER</t>
  </si>
  <si>
    <t>Earth, reinforced</t>
  </si>
  <si>
    <t>1200</t>
  </si>
  <si>
    <t>W</t>
  </si>
  <si>
    <t>Wood</t>
  </si>
  <si>
    <t>1300</t>
  </si>
  <si>
    <t>HYB</t>
  </si>
  <si>
    <t>Hybrid or composite (mixed) materials</t>
  </si>
  <si>
    <t>1400</t>
  </si>
  <si>
    <t>{"type": "filtered_attribute('material', ['MDD','MDV','HYB'])",
            "args_min": 2,
            "must_be_diff": true
            }</t>
  </si>
  <si>
    <t>INF</t>
  </si>
  <si>
    <t>Informal materials</t>
  </si>
  <si>
    <t>1500</t>
  </si>
  <si>
    <t>MDD</t>
  </si>
  <si>
    <t>MDD(sys_a;sys_b), different materials in the two directions
(a= system parallel to the building facade;
 b= system perpendicular to the building facade)</t>
  </si>
  <si>
    <t>MDD(CR;W)</t>
  </si>
  <si>
    <t>1600</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</si>
  <si>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</si>
  <si>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</si>
  <si>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</si>
  <si>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</si>
  <si>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1700</t>
  </si>
  <si>
    <t>{"type": "filtered_attribute('material', ['MDV'])",
            "args_min": 2,
            "must_be_diff": true
            }</t>
  </si>
  <si>
    <t>MATO</t>
  </si>
  <si>
    <t>Other material</t>
  </si>
  <si>
    <t>1800</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</si>
  <si>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</si>
  <si>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</si>
  <si>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</si>
  <si>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</si>
  <si>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</si>
  <si>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</si>
  <si>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</si>
  <si>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</si>
  <si>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</si>
  <si>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</si>
  <si>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</si>
  <si>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</si>
  <si>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</si>
  <si>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</si>
  <si>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</si>
  <si>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</si>
  <si>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</si>
  <si>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</si>
  <si>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</si>
  <si>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</si>
  <si>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</si>
  <si>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</si>
  <si>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</si>
  <si>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</si>
  <si>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</si>
  <si>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</si>
  <si>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</si>
  <si>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</si>
  <si>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</si>
  <si>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</si>
  <si>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</si>
  <si>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</si>
  <si>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</si>
  <si>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</si>
  <si>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</si>
  <si>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</si>
  <si>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</si>
  <si>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</si>
  <si>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</si>
  <si>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</si>
  <si>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</si>
  <si>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</si>
  <si>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</si>
  <si>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</si>
  <si>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</si>
  <si>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</si>
  <si>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</si>
  <si>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</si>
  <si>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</si>
  <si>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</si>
  <si>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</si>
  <si>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</si>
  <si>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</si>
  <si>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</si>
  <si>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</si>
  <si>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</si>
  <si>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</si>
  <si>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</si>
  <si>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</si>
  <si>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</si>
  <si>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</si>
  <si>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</si>
  <si>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</si>
  <si>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</si>
  <si>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</si>
  <si>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</si>
  <si>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</si>
  <si>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</si>
  <si>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</si>
  <si>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</si>
  <si>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</si>
  <si>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</si>
  <si>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</si>
  <si>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</si>
  <si>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</si>
  <si>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</si>
  <si>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</si>
  <si>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</si>
  <si>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</si>
  <si>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</si>
  <si>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</si>
  <si>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</si>
  <si>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</si>
  <si>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</si>
  <si>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</si>
  <si>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</si>
  <si>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</si>
  <si>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</si>
  <si>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</si>
  <si>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</si>
  <si>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</si>
  <si>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</si>
  <si>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</si>
  <si>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</si>
  <si>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</si>
  <si>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</si>
  <si>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</si>
  <si>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</si>
  <si>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</si>
  <si>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</si>
  <si>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</si>
  <si>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</si>
  <si>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</si>
  <si>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</si>
  <si>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</si>
  <si>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</si>
  <si>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</si>
  <si>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</si>
  <si>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</si>
  <si>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</si>
  <si>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</si>
  <si>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</si>
  <si>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</si>
  <si>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</si>
  <si>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</si>
  <si>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</si>
  <si>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</si>
  <si>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</si>
  <si>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</si>
  <si>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</si>
  <si>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</si>
  <si>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</si>
  <si>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</si>
  <si>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</si>
  <si>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</si>
  <si>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</si>
  <si>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</si>
  <si>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</si>
  <si>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</si>
  <si>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</si>
  <si>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</si>
  <si>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</si>
  <si>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</si>
  <si>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</si>
  <si>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</si>
  <si>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</si>
  <si>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</si>
  <si>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</si>
  <si>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</si>
  <si>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</si>
  <si>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</si>
  <si>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</si>
  <si>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</si>
  <si>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</si>
  <si>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</si>
  <si>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</si>
  <si>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</si>
  <si>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LDD</t>
  </si>
  <si>
    <t>LDD(sys_a;sys_b), different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</si>
  <si>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</si>
  <si>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</si>
  <si>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</si>
  <si>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</si>
  <si>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</si>
  <si>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</si>
  <si>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</si>
  <si>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</si>
  <si>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</si>
  <si>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</si>
  <si>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</si>
  <si>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</si>
  <si>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</si>
  <si>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</si>
  <si>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</si>
  <si>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</si>
  <si>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</si>
  <si>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</si>
  <si>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</si>
  <si>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</si>
  <si>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</si>
  <si>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</si>
  <si>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</si>
  <si>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</si>
  <si>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</si>
  <si>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</si>
  <si>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</si>
  <si>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</si>
  <si>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</si>
  <si>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</si>
  <si>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</si>
  <si>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</si>
  <si>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</si>
  <si>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</si>
  <si>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</si>
  <si>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</si>
  <si>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</si>
  <si>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</si>
  <si>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</si>
  <si>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</si>
  <si>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</si>
  <si>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</si>
  <si>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</si>
  <si>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</si>
  <si>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</si>
  <si>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</si>
  <si>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</si>
  <si>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</si>
  <si>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</si>
  <si>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</si>
  <si>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</si>
  <si>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</si>
  <si>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</si>
  <si>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</si>
  <si>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</si>
  <si>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pga_rock</t>
  </si>
  <si>
    <t>Design Peak Ground Acceleration on Rock</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</si>
  <si>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</si>
  <si>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</si>
  <si>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</si>
  <si>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"float",
            "min": 0,
            "min_incl": true,
            "params_min": 1,
            "params_max": 1,
            "unit_measure": ["g", "g"]
}</t>
  </si>
  <si>
    <t>Design Peak Ground Acceleration on Soil</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</si>
  <si>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</si>
  <si>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</si>
  <si>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</si>
  <si>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</si>
  <si>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</si>
  <si>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</si>
  <si>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</si>
  <si>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</si>
  <si>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</si>
  <si>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</si>
  <si>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</si>
  <si>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</si>
  <si>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</si>
  <si>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</si>
  <si>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</si>
  <si>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</si>
  <si>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</si>
  <si>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</si>
  <si>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</si>
  <si>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</si>
  <si>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</si>
  <si>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</si>
  <si>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</si>
  <si>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</si>
  <si>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</si>
  <si>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</si>
  <si>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</si>
  <si>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</si>
  <si>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</si>
  <si>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</si>
  <si>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</si>
  <si>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</si>
  <si>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WOL,WOM,WOS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</si>
  <si>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</si>
  <si>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</si>
  <si>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</si>
  <si>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</si>
  <si>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</si>
  <si>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</si>
  <si>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</si>
  <si>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</si>
  <si>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</si>
  <si>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</si>
  <si>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</si>
  <si>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</si>
  <si>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</si>
  <si>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</si>
  <si>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</si>
  <si>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</si>
  <si>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</si>
  <si>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</si>
  <si>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</si>
  <si>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</si>
  <si>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</si>
  <si>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</si>
  <si>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</si>
  <si>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</si>
  <si>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</si>
  <si>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</si>
  <si>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</si>
  <si>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</si>
  <si>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</si>
  <si>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</si>
  <si>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</si>
  <si>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</si>
  <si>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</si>
  <si>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</si>
  <si>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</si>
  <si>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</si>
  <si>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</si>
  <si>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</si>
  <si>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</si>
  <si>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</si>
  <si>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</si>
  <si>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</si>
  <si>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</si>
  <si>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</si>
  <si>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</si>
  <si>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</si>
  <si>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</si>
  <si>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</si>
  <si>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</si>
  <si>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</si>
  <si>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</si>
  <si>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</si>
  <si>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</si>
  <si>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</si>
  <si>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</si>
  <si>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</si>
  <si>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</si>
  <si>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</si>
  <si>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</si>
  <si>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</si>
  <si>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</si>
  <si>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</si>
  <si>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</si>
  <si>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</si>
  <si>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</si>
  <si>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</si>
  <si>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</si>
  <si>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</si>
  <si>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</si>
  <si>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</si>
  <si>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</si>
  <si>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</si>
  <si>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</si>
  <si>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</si>
  <si>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</si>
  <si>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</si>
  <si>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</si>
  <si>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</si>
  <si>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</si>
  <si>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</si>
  <si>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dates: Date of Construction or Retrofit</t>
  </si>
  <si>
    <t>construction_completed_year</t>
  </si>
  <si>
    <t>Construction completed (year)</t>
  </si>
  <si>
    <t>Y</t>
  </si>
  <si>
    <t>Date of construction or retrofit</t>
  </si>
  <si>
    <t>Y:n, exact date of construction or retrofit.
Y:a-b, range of date of construction or retrofit.
Y:&lt;n, n upper limit of date of construction or retrofit (with n excluded).
Y:&gt;n, n lower limit of date of construction or retrofit (with n excluded).</t>
  </si>
  <si>
    <t>{
            "type": "rangeable_int",
            "params_min": 1,
            "params_max": 1,
            "unit_measure": ["year", "years"]
}</t>
  </si>
  <si>
    <t>YAPP</t>
  </si>
  <si>
    <t>Approximate date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</si>
  <si>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</si>
  <si>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</si>
  <si>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</si>
  <si>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</si>
  <si>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</si>
  <si>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</si>
  <si>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</si>
  <si>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</si>
  <si>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</si>
  <si>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</si>
  <si>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</si>
  <si>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</si>
  <si>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</si>
  <si>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</si>
  <si>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</si>
  <si>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</si>
  <si>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</si>
  <si>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</si>
  <si>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</si>
  <si>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</si>
  <si>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</si>
  <si>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</si>
  <si>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</si>
  <si>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</si>
  <si>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</si>
  <si>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</si>
  <si>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</si>
  <si>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</si>
  <si>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</si>
  <si>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</si>
  <si>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</si>
  <si>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</si>
  <si>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</si>
  <si>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</si>
  <si>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</si>
  <si>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</si>
  <si>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</si>
  <si>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</si>
  <si>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</si>
  <si>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</si>
  <si>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</si>
  <si>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</si>
  <si>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</si>
  <si>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</si>
  <si>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</si>
  <si>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</si>
  <si>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</si>
  <si>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</si>
  <si>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</si>
  <si>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</si>
  <si>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</si>
  <si>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</si>
  <si>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1900</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</si>
  <si>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</si>
  <si>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</si>
  <si>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</si>
  <si>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</si>
  <si>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</si>
  <si>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</si>
  <si>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</si>
  <si>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</si>
  <si>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</si>
  <si>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</si>
  <si>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</si>
  <si>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</si>
  <si>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</si>
  <si>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</si>
  <si>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</si>
  <si>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</si>
  <si>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</si>
  <si>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{"type": "filtered_atomsgroup('irregularity', [])",
            "args_min": 1,
            "must_be_diff": true
            }</t>
  </si>
  <si>
    <t>Irregularity</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</si>
  <si>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</si>
  <si>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</si>
  <si>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</si>
  <si>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</si>
  <si>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</si>
  <si>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</si>
  <si>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</si>
  <si>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</si>
  <si>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</si>
  <si>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</si>
  <si>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</si>
  <si>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</si>
  <si>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</si>
  <si>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</si>
  <si>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</si>
  <si>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</si>
  <si>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</si>
  <si>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</si>
  <si>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</si>
  <si>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</si>
  <si>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</si>
  <si>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</si>
  <si>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</si>
  <si>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</si>
  <si>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</si>
  <si>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</si>
  <si>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</si>
  <si>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</si>
  <si>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</si>
  <si>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</si>
  <si>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</si>
  <si>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</si>
  <si>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</si>
  <si>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</si>
  <si>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</si>
  <si>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</si>
  <si>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</si>
  <si>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</si>
  <si>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</si>
  <si>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</si>
  <si>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</si>
  <si>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</si>
  <si>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</si>
  <si>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</si>
  <si>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</si>
  <si>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</si>
  <si>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</si>
  <si>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</si>
  <si>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</si>
  <si>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</si>
  <si>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</si>
  <si>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</si>
  <si>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</si>
  <si>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</si>
  <si>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</si>
  <si>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</si>
  <si>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</si>
  <si>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</si>
  <si>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</si>
  <si>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</si>
  <si>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</si>
  <si>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</si>
  <si>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</si>
  <si>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</si>
  <si>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</si>
  <si>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</si>
  <si>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</si>
  <si>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</si>
  <si>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</si>
  <si>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</si>
  <si>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</si>
  <si>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</si>
  <si>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</si>
  <si>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</si>
  <si>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</si>
  <si>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</si>
  <si>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</si>
  <si>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</si>
  <si>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</si>
  <si>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</si>
  <si>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</si>
  <si>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</si>
  <si>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</si>
  <si>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</si>
  <si>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</si>
  <si>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</si>
  <si>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</si>
  <si>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</si>
  <si>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</si>
  <si>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</si>
  <si>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</si>
  <si>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</si>
  <si>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</si>
  <si>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</si>
  <si>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</si>
  <si>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</si>
  <si>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</si>
  <si>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</si>
  <si>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</si>
  <si>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</si>
  <si>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</si>
  <si>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</si>
  <si>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</si>
  <si>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</si>
  <si>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</si>
  <si>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</si>
  <si>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</si>
  <si>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</si>
  <si>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</si>
  <si>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</si>
  <si>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</si>
  <si>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</si>
  <si>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</si>
  <si>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</si>
  <si>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</si>
  <si>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</si>
  <si>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</si>
  <si>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</si>
  <si>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</si>
  <si>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</si>
  <si>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</si>
  <si>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</si>
  <si>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</si>
  <si>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</si>
  <si>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</si>
  <si>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</si>
  <si>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</si>
  <si>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</si>
  <si>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</si>
  <si>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</si>
  <si>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</si>
  <si>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</si>
  <si>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</si>
  <si>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</si>
  <si>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</si>
  <si>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</si>
  <si>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</si>
  <si>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</si>
  <si>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</si>
  <si>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</si>
  <si>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</si>
  <si>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</si>
  <si>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</si>
  <si>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</si>
  <si>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</si>
  <si>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</si>
  <si>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</si>
  <si>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</si>
  <si>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</si>
  <si>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</si>
  <si>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</si>
  <si>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</si>
  <si>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</si>
  <si>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</si>
  <si>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</si>
  <si>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</si>
  <si>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</si>
  <si>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</si>
  <si>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</si>
  <si>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</si>
  <si>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</si>
  <si>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</si>
  <si>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</si>
  <si>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</si>
  <si>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</si>
  <si>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</si>
  <si>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</si>
  <si>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</si>
  <si>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</si>
  <si>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FE</t>
  </si>
  <si>
    <t>FC</t>
  </si>
  <si>
    <t>FME</t>
  </si>
  <si>
    <t>FW</t>
  </si>
  <si>
    <t>FO</t>
  </si>
  <si>
    <t>Floor material, other</t>
  </si>
  <si>
    <t>floor_system_type</t>
  </si>
  <si>
    <t>Floor system type</t>
  </si>
  <si>
    <t>FM1</t>
  </si>
  <si>
    <t>FM2</t>
  </si>
  <si>
    <t>FM3</t>
  </si>
  <si>
    <t>Composite cast-in-place reinforced concrete and masonry floor system</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</si>
  <si>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</si>
  <si>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</si>
  <si>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</si>
  <si>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</si>
  <si>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</si>
  <si>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</si>
  <si>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</si>
  <si>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</si>
  <si>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FME1</t>
  </si>
  <si>
    <t>Metal beams, trusses, or joists supporting light flooring</t>
  </si>
  <si>
    <t>FME2</t>
  </si>
  <si>
    <t>Metal beams supporting precast concrete slabs</t>
  </si>
  <si>
    <t>FME3</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</si>
  <si>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</si>
  <si>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</si>
  <si>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</si>
  <si>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</si>
  <si>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</si>
  <si>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</si>
  <si>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</si>
  <si>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</si>
  <si>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</si>
  <si>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</si>
  <si>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</si>
  <si>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</si>
  <si>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</si>
  <si>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</si>
  <si>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</si>
  <si>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</si>
  <si>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</si>
  <si>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</si>
  <si>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</si>
  <si>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</si>
  <si>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</si>
  <si>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</si>
  <si>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</si>
  <si>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</si>
  <si>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</si>
  <si>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</si>
  <si>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</si>
  <si>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</si>
  <si>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</si>
  <si>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</si>
  <si>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</si>
  <si>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</si>
  <si>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</si>
  <si>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</si>
  <si>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</si>
  <si>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</si>
  <si>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</si>
  <si>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</si>
  <si>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</si>
  <si>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</si>
  <si>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</si>
  <si>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</si>
  <si>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</si>
  <si>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</si>
  <si>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</si>
  <si>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</si>
  <si>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</si>
  <si>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</si>
  <si>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</si>
  <si>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</si>
  <si>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</si>
  <si>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RES:5</t>
  </si>
  <si>
    <t>Mobile home</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</si>
  <si>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</si>
  <si>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</si>
  <si>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</si>
  <si>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</si>
  <si>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</si>
  <si>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</si>
  <si>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</si>
  <si>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</si>
  <si>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</si>
  <si>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</si>
  <si>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</si>
  <si>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</si>
  <si>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</si>
  <si>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</si>
  <si>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</si>
  <si>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</si>
  <si>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</si>
  <si>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Hotels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</si>
  <si>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</si>
  <si>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</si>
  <si>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</si>
  <si>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</si>
  <si>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</si>
  <si>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</si>
  <si>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</si>
  <si>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</si>
  <si>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</si>
  <si>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</si>
  <si>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</si>
  <si>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</si>
  <si>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</si>
  <si>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</si>
  <si>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</si>
  <si>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</si>
  <si>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</si>
  <si>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</si>
  <si>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</si>
  <si>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</si>
  <si>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</si>
  <si>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</si>
  <si>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</si>
  <si>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</si>
  <si>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</si>
  <si>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</si>
  <si>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</si>
  <si>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</si>
  <si>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</si>
  <si>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</si>
  <si>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</si>
  <si>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</si>
  <si>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</si>
  <si>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</si>
  <si>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</si>
  <si>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</si>
  <si>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</si>
  <si>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</si>
  <si>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</si>
  <si>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</si>
  <si>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</si>
  <si>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</si>
  <si>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</si>
  <si>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</si>
  <si>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</si>
  <si>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</si>
  <si>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</si>
  <si>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</si>
  <si>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</si>
  <si>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</si>
  <si>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</si>
  <si>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</si>
  <si>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</si>
  <si>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</si>
  <si>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</si>
  <si>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</si>
  <si>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</si>
  <si>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</si>
  <si>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</si>
  <si>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</si>
  <si>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</si>
  <si>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</si>
  <si>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</si>
  <si>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</si>
  <si>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</si>
  <si>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</si>
  <si>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</si>
  <si>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</si>
  <si>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</si>
  <si>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</si>
  <si>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</si>
  <si>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</si>
  <si>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</si>
  <si>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</si>
  <si>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</si>
  <si>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</si>
  <si>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</si>
  <si>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</si>
  <si>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</si>
  <si>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</si>
  <si>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</si>
  <si>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</si>
  <si>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</si>
  <si>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</si>
  <si>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</si>
  <si>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</si>
  <si>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</si>
  <si>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</si>
  <si>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</si>
  <si>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</si>
  <si>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</si>
  <si>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</si>
  <si>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</si>
  <si>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</si>
  <si>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</si>
  <si>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</si>
  <si>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</si>
  <si>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</si>
  <si>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</si>
  <si>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</si>
  <si>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</si>
  <si>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</si>
  <si>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</si>
  <si>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</si>
  <si>
    <t>size_category</t>
  </si>
  <si>
    <t>Size category</t>
  </si>
  <si>
    <t>XS</t>
  </si>
  <si>
    <t>Micro-business (&lt; 9 employees)</t>
  </si>
  <si>
    <t>COM,IND</t>
  </si>
  <si>
    <t>SS</t>
  </si>
  <si>
    <t>Small business (10 - 49 employees)</t>
  </si>
  <si>
    <t>MS</t>
  </si>
  <si>
    <t>Medium business (50 - 249 employees)</t>
  </si>
  <si>
    <t>LS</t>
  </si>
  <si>
    <t>Large business (&gt; 250 employees)</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</si>
</sst>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7">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63">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3" fontId="5" numFmtId="0" xfId="0" applyAlignment="1" applyFont="1">
      <alignment readingOrder="0"/>
    </xf>
    <xf borderId="0" fillId="5" fontId="3" numFmtId="0" xfId="0" applyAlignment="1" applyFont="1">
      <alignment shrinkToFit="0" vertical="top" wrapText="0"/>
    </xf>
    <xf borderId="0" fillId="5" fontId="10"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left" readingOrder="0" shrinkToFit="0" vertical="top" wrapText="0"/>
    </xf>
    <xf borderId="0" fillId="0" fontId="3" numFmtId="0" xfId="0" applyAlignment="1" applyFont="1">
      <alignment readingOrder="0" shrinkToFit="0" vertical="top" wrapText="1"/>
    </xf>
    <xf borderId="0" fillId="0" fontId="11" numFmtId="0" xfId="0" applyAlignment="1" applyFont="1">
      <alignment readingOrder="0"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shrinkToFit="0" vertical="top" wrapText="1"/>
    </xf>
    <xf borderId="1" fillId="2" fontId="1" numFmtId="0" xfId="0" applyAlignment="1" applyBorder="1" applyFont="1">
      <alignment readingOrder="0" shrinkToFit="0" vertical="top" wrapText="0"/>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0" fillId="3" fontId="5" numFmtId="0" xfId="0" applyAlignment="1" applyFont="1">
      <alignment readingOrder="0" shrinkToFit="0" vertical="top" wrapText="1"/>
    </xf>
    <xf borderId="0" fillId="3" fontId="5" numFmtId="0" xfId="0" applyAlignment="1" applyFont="1">
      <alignment vertical="top"/>
    </xf>
    <xf borderId="0" fillId="6" fontId="5" numFmtId="0" xfId="0" applyAlignment="1" applyFont="1">
      <alignment readingOrder="0" vertical="top"/>
    </xf>
    <xf borderId="0" fillId="6" fontId="5" numFmtId="0" xfId="0" applyAlignment="1" applyFont="1">
      <alignment readingOrder="0" shrinkToFit="0" vertical="top" wrapText="1"/>
    </xf>
    <xf borderId="0" fillId="3" fontId="5" numFmtId="0" xfId="0" applyAlignment="1" applyFont="1">
      <alignment readingOrder="0" shrinkToFit="0" vertical="top" wrapText="0"/>
    </xf>
    <xf borderId="0" fillId="0" fontId="8" numFmtId="0" xfId="0" applyAlignment="1" applyFont="1">
      <alignment readingOrder="0" vertical="top"/>
    </xf>
    <xf borderId="0" fillId="0" fontId="8" numFmtId="0" xfId="0" applyAlignment="1" applyFont="1">
      <alignment vertical="top"/>
    </xf>
    <xf borderId="0" fillId="0" fontId="8" numFmtId="0" xfId="0" applyAlignment="1" applyFont="1">
      <alignment shrinkToFit="0" vertical="top" wrapText="1"/>
    </xf>
    <xf borderId="0" fillId="0" fontId="8" numFmtId="0" xfId="0" applyAlignment="1" applyFont="1">
      <alignment readingOrder="0" shrinkToFit="0" vertical="top" wrapText="1"/>
    </xf>
    <xf borderId="0" fillId="0" fontId="5" numFmtId="0" xfId="0" applyAlignment="1" applyFont="1">
      <alignment shrinkToFit="0" vertical="top" wrapText="0"/>
    </xf>
    <xf borderId="0" fillId="2" fontId="12"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0" fillId="3" fontId="8" numFmtId="0" xfId="0" applyAlignment="1" applyFont="1">
      <alignment horizontal="left" readingOrder="0" shrinkToFit="0" vertical="top" wrapText="0"/>
    </xf>
    <xf borderId="1" fillId="2" fontId="1" numFmtId="0" xfId="0" applyAlignment="1" applyBorder="1" applyFont="1">
      <alignment shrinkToFit="0" vertical="bottom" wrapText="0"/>
    </xf>
    <xf borderId="0" fillId="0" fontId="13" numFmtId="0" xfId="0" applyAlignment="1" applyFont="1">
      <alignment readingOrder="0"/>
    </xf>
    <xf borderId="0" fillId="0" fontId="5" numFmtId="1" xfId="0" applyFont="1" applyNumberFormat="1"/>
    <xf borderId="0" fillId="0" fontId="5" numFmtId="1" xfId="0" applyAlignment="1" applyFont="1" applyNumberFormat="1">
      <alignment readingOrder="0"/>
    </xf>
    <xf borderId="0" fillId="2" fontId="12" numFmtId="0" xfId="0" applyAlignment="1" applyFont="1">
      <alignment horizontal="left" readingOrder="0"/>
    </xf>
    <xf borderId="0" fillId="6" fontId="14" numFmtId="0" xfId="0" applyAlignment="1" applyFont="1">
      <alignment horizontal="left" readingOrder="0"/>
    </xf>
    <xf borderId="0" fillId="3" fontId="5"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6.57"/>
    <col customWidth="1" min="3" max="3" width="19.14"/>
    <col customWidth="1" min="4" max="4" width="36.57"/>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material!B23</f>
        <v>Concrete technology</v>
      </c>
    </row>
    <row r="6" ht="13.5" customHeight="1">
      <c r="D6" s="10" t="str">
        <f>material!B27</f>
        <v>Steel technology</v>
      </c>
    </row>
    <row r="7" ht="13.5" customHeight="1">
      <c r="D7" s="10" t="str">
        <f>material!B30</f>
        <v>Metal technology</v>
      </c>
    </row>
    <row r="8" ht="13.5" customHeight="1">
      <c r="D8" s="10" t="str">
        <f>material!B32</f>
        <v>Masonry technology</v>
      </c>
    </row>
    <row r="9" ht="13.5" customHeight="1">
      <c r="D9" s="10" t="str">
        <f>material!B36</f>
        <v>Masonry unit type</v>
      </c>
    </row>
    <row r="10" ht="13.5" customHeight="1">
      <c r="D10" s="10" t="s">
        <v>8</v>
      </c>
    </row>
    <row r="11" ht="13.5" customHeight="1">
      <c r="D11" s="10" t="str">
        <f>material!B47</f>
        <v>Wood technology</v>
      </c>
    </row>
    <row r="12" ht="13.5" customHeight="1">
      <c r="D12" s="10" t="str">
        <f>material!B53</f>
        <v>Mortar type</v>
      </c>
    </row>
    <row r="13" ht="13.5" customHeight="1">
      <c r="D13" s="10" t="str">
        <f>material!B58</f>
        <v>Stone type</v>
      </c>
    </row>
    <row r="14" ht="13.5" customHeight="1">
      <c r="D14" s="10" t="str">
        <f>material!B65</f>
        <v>Masonry reinforcement type</v>
      </c>
    </row>
    <row r="15" ht="13.5" customHeight="1">
      <c r="D15" s="10" t="str">
        <f>material!B70</f>
        <v>Steel connection type</v>
      </c>
    </row>
    <row r="16" ht="13.5" customHeight="1">
      <c r="A16" s="6" t="s">
        <v>9</v>
      </c>
      <c r="B16" s="6" t="s">
        <v>10</v>
      </c>
      <c r="C16" s="8" t="s">
        <v>11</v>
      </c>
      <c r="D16" s="10" t="str">
        <f>llrs!B4</f>
        <v>Type of lateral load-resisting system</v>
      </c>
    </row>
    <row r="17" ht="13.5" customHeight="1">
      <c r="D17" s="10" t="str">
        <f>llrs!B15</f>
        <v>System ductility</v>
      </c>
    </row>
    <row r="18" ht="13.5" customHeight="1">
      <c r="D18" s="10" t="str">
        <f>llrs!B20</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Design Peak Ground Acceleration on Rock</v>
      </c>
    </row>
    <row r="23" ht="13.5" customHeight="1">
      <c r="D23" s="12" t="str">
        <f>eq_design!B15</f>
        <v>Design Peak Ground Acceleration on Soil</v>
      </c>
    </row>
    <row r="24" ht="13.5" customHeight="1">
      <c r="D24" s="11" t="str">
        <f>eq_design!B16</f>
        <v>Contents provisions</v>
      </c>
    </row>
    <row r="25" ht="13.5" customHeight="1">
      <c r="D25" s="12" t="str">
        <f>eq_design!B18</f>
        <v>Non structural components</v>
      </c>
    </row>
    <row r="26" ht="13.5" customHeight="1">
      <c r="A26" s="11" t="s">
        <v>15</v>
      </c>
      <c r="B26" s="11" t="s">
        <v>16</v>
      </c>
      <c r="C26" s="15" t="s">
        <v>17</v>
      </c>
      <c r="D26" s="16" t="str">
        <f>wind_design!B4</f>
        <v>Wind resistance</v>
      </c>
    </row>
    <row r="27" ht="13.5" customHeight="1">
      <c r="D27" s="14" t="str">
        <f>wind_design!B9</f>
        <v>Windows protection</v>
      </c>
    </row>
    <row r="28" ht="13.5" customHeight="1">
      <c r="A28" s="17" t="s">
        <v>18</v>
      </c>
      <c r="B28" s="17" t="s">
        <v>19</v>
      </c>
      <c r="C28" s="18" t="s">
        <v>17</v>
      </c>
      <c r="D28" s="16" t="str">
        <f>flood_design!B4</f>
        <v>Flood resistance</v>
      </c>
    </row>
    <row r="29" ht="13.5" customHeight="1">
      <c r="D29" s="19" t="str">
        <f>flood_design!B9</f>
        <v>Ground floor hydrodynamics</v>
      </c>
    </row>
    <row r="30" ht="13.5" customHeight="1">
      <c r="A30" s="20" t="s">
        <v>20</v>
      </c>
      <c r="B30" s="20" t="s">
        <v>21</v>
      </c>
      <c r="C30" s="18" t="s">
        <v>22</v>
      </c>
      <c r="D30" s="14" t="str">
        <f>others_design!B4</f>
        <v>Fire protection</v>
      </c>
      <c r="F30" s="21"/>
      <c r="G30" s="21"/>
      <c r="H30" s="21"/>
      <c r="I30" s="21"/>
      <c r="J30" s="21"/>
      <c r="K30" s="21"/>
      <c r="L30" s="21"/>
      <c r="M30" s="21"/>
      <c r="N30" s="21"/>
      <c r="O30" s="21"/>
      <c r="P30" s="21"/>
      <c r="Q30" s="21"/>
      <c r="R30" s="21"/>
      <c r="S30" s="21"/>
      <c r="T30" s="21"/>
      <c r="U30" s="21"/>
      <c r="V30" s="21"/>
      <c r="W30" s="21"/>
      <c r="X30" s="21"/>
      <c r="Y30" s="21"/>
      <c r="Z30" s="21"/>
    </row>
    <row r="31" ht="13.5" customHeight="1">
      <c r="A31" s="7" t="s">
        <v>23</v>
      </c>
      <c r="B31" s="7" t="s">
        <v>23</v>
      </c>
      <c r="C31" s="8" t="s">
        <v>24</v>
      </c>
      <c r="D31" s="10" t="str">
        <f>height!B4</f>
        <v>Number of storeys</v>
      </c>
    </row>
    <row r="32" ht="13.5" customHeight="1">
      <c r="D32" s="10" t="str">
        <f>height!B6</f>
        <v>height of structure (m)</v>
      </c>
    </row>
    <row r="33" ht="13.5" customHeight="1">
      <c r="D33" s="10" t="str">
        <f>height!B8</f>
        <v>Number of storeys below ground</v>
      </c>
    </row>
    <row r="34" ht="13.5" customHeight="1">
      <c r="D34" s="10" t="str">
        <f>height!B11</f>
        <v>height of ground floor above grade</v>
      </c>
    </row>
    <row r="35" ht="13.5" customHeight="1">
      <c r="D35" s="10" t="str">
        <f>height!B13</f>
        <v>Slope of the ground (degrees)</v>
      </c>
    </row>
    <row r="36" ht="13.5" customHeight="1">
      <c r="A36" s="6" t="s">
        <v>25</v>
      </c>
      <c r="B36" s="6" t="s">
        <v>26</v>
      </c>
      <c r="C36" s="8" t="s">
        <v>27</v>
      </c>
      <c r="D36" s="10" t="str">
        <f>dates!B4</f>
        <v>Construction completed (year)</v>
      </c>
    </row>
    <row r="37" ht="13.5" customHeight="1">
      <c r="D37" s="10" t="str">
        <f>dates!B6</f>
        <v>Physical condition / maintenance</v>
      </c>
    </row>
    <row r="38" ht="13.5" customHeight="1">
      <c r="A38" s="7" t="s">
        <v>28</v>
      </c>
      <c r="B38" s="7" t="s">
        <v>29</v>
      </c>
      <c r="C38" s="8" t="s">
        <v>30</v>
      </c>
      <c r="D38" s="10" t="str">
        <f>shape!B4</f>
        <v>Plan shape (footprint)</v>
      </c>
    </row>
    <row r="39" ht="13.5" customHeight="1">
      <c r="D39" s="10" t="str">
        <f>shape!B24</f>
        <v>Building Position within a Block</v>
      </c>
    </row>
    <row r="40" ht="13.5" customHeight="1">
      <c r="A40" s="6" t="s">
        <v>31</v>
      </c>
      <c r="B40" s="6" t="s">
        <v>32</v>
      </c>
      <c r="C40" s="8" t="s">
        <v>33</v>
      </c>
      <c r="D40" s="10" t="str">
        <f>irregularity!B4</f>
        <v>Regular or irregular</v>
      </c>
    </row>
    <row r="41" ht="13.5" customHeight="1">
      <c r="D41" s="22" t="str">
        <f>irregularity!B6</f>
        <v>Irregularity</v>
      </c>
    </row>
    <row r="42" ht="13.5" customHeight="1">
      <c r="A42" s="6" t="s">
        <v>34</v>
      </c>
      <c r="B42" s="6" t="s">
        <v>35</v>
      </c>
      <c r="C42" s="8" t="s">
        <v>36</v>
      </c>
      <c r="D42" s="10" t="str">
        <f>ext_walls!B4</f>
        <v>Material of exterior walls</v>
      </c>
    </row>
    <row r="43" ht="13.5" customHeight="1">
      <c r="D43" s="10" t="str">
        <f>ext_walls!B15</f>
        <v>Openings</v>
      </c>
    </row>
    <row r="44" ht="13.5" customHeight="1">
      <c r="A44" s="6" t="s">
        <v>37</v>
      </c>
      <c r="B44" s="6" t="s">
        <v>38</v>
      </c>
      <c r="C44" s="8" t="s">
        <v>39</v>
      </c>
      <c r="D44" s="10" t="str">
        <f>roof!B4</f>
        <v>Roof shape</v>
      </c>
    </row>
    <row r="45" ht="13.5" customHeight="1">
      <c r="D45" s="10" t="str">
        <f>roof!B14</f>
        <v>Roof covering material</v>
      </c>
    </row>
    <row r="46" ht="13.5" customHeight="1">
      <c r="D46" s="10" t="str">
        <f>roof!B27</f>
        <v>Roof type</v>
      </c>
    </row>
    <row r="47" ht="13.5" customHeight="1">
      <c r="D47" s="10" t="str">
        <f>roof!B52</f>
        <v>Roof connections</v>
      </c>
    </row>
    <row r="48" ht="13.5" customHeight="1">
      <c r="A48" s="6" t="s">
        <v>40</v>
      </c>
      <c r="B48" s="6" t="s">
        <v>41</v>
      </c>
      <c r="C48" s="8" t="s">
        <v>42</v>
      </c>
      <c r="D48" s="10" t="str">
        <f>floor!B4</f>
        <v>Floor system material</v>
      </c>
    </row>
    <row r="49" ht="13.5" customHeight="1">
      <c r="D49" s="10" t="str">
        <f>floor!B11</f>
        <v>Floor system type</v>
      </c>
    </row>
    <row r="50" ht="13.5" customHeight="1">
      <c r="D50" s="10" t="str">
        <f>floor!B25</f>
        <v>Floor connections</v>
      </c>
    </row>
    <row r="51" ht="13.5" customHeight="1">
      <c r="A51" s="6" t="s">
        <v>43</v>
      </c>
      <c r="B51" s="6" t="s">
        <v>44</v>
      </c>
      <c r="C51" s="8" t="s">
        <v>45</v>
      </c>
      <c r="D51" s="10" t="str">
        <f>foundation!B4</f>
        <v>Foundation System</v>
      </c>
    </row>
    <row r="52" ht="13.5" customHeight="1">
      <c r="A52" s="23" t="s">
        <v>46</v>
      </c>
      <c r="B52" s="23" t="s">
        <v>47</v>
      </c>
      <c r="C52" s="24" t="s">
        <v>48</v>
      </c>
      <c r="D52" s="19" t="str">
        <f>occupancy!B4</f>
        <v>Building occupancy class</v>
      </c>
    </row>
    <row r="53" ht="13.5" customHeight="1">
      <c r="D53" s="22" t="str">
        <f>occupancy!B77</f>
        <v>Size category</v>
      </c>
    </row>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40">
    <mergeCell ref="A1:D1"/>
    <mergeCell ref="A4:A15"/>
    <mergeCell ref="B4:B15"/>
    <mergeCell ref="C4:C15"/>
    <mergeCell ref="A16:A18"/>
    <mergeCell ref="B16:B18"/>
    <mergeCell ref="C16:C18"/>
    <mergeCell ref="B28:B29"/>
    <mergeCell ref="C28:C29"/>
    <mergeCell ref="A19:A25"/>
    <mergeCell ref="B19:B25"/>
    <mergeCell ref="C19:C25"/>
    <mergeCell ref="A26:A27"/>
    <mergeCell ref="B26:B27"/>
    <mergeCell ref="C26:C27"/>
    <mergeCell ref="A28:A29"/>
    <mergeCell ref="B38:B39"/>
    <mergeCell ref="C38:C39"/>
    <mergeCell ref="A31:A35"/>
    <mergeCell ref="B31:B35"/>
    <mergeCell ref="C31:C35"/>
    <mergeCell ref="A36:A37"/>
    <mergeCell ref="B36:B37"/>
    <mergeCell ref="C36:C37"/>
    <mergeCell ref="A38:A39"/>
    <mergeCell ref="B44:B47"/>
    <mergeCell ref="C44:C47"/>
    <mergeCell ref="A48:A50"/>
    <mergeCell ref="B48:B50"/>
    <mergeCell ref="C48:C50"/>
    <mergeCell ref="A52:A53"/>
    <mergeCell ref="B52:B53"/>
    <mergeCell ref="C52:C53"/>
    <mergeCell ref="A40:A41"/>
    <mergeCell ref="B40:B41"/>
    <mergeCell ref="C40:C41"/>
    <mergeCell ref="A42:A43"/>
    <mergeCell ref="B42:B43"/>
    <mergeCell ref="C42:C43"/>
    <mergeCell ref="A44:A47"/>
  </mergeCells>
  <hyperlinks>
    <hyperlink display="material sheet" location="material!A1" ref="C4"/>
    <hyperlink display="llrs sheet" location="llrs!A1" ref="C16"/>
    <hyperlink display="eq design sheet" location="eq_design!A1" ref="C19"/>
    <hyperlink display="flood sheet" location="wind_design!A1" ref="C26"/>
    <hyperlink display="flood sheet" location="flood_design!A1" ref="C28"/>
    <hyperlink display="others sheet" location="others_design!A1" ref="C30"/>
    <hyperlink display="height sheet" location="height!A1" ref="C31"/>
    <hyperlink display="dates sheet" location="dates!A1" ref="C36"/>
    <hyperlink display="shape sheet" location="shape!A1" ref="C38"/>
    <hyperlink display="irregularity sheet" location="irregularity!A1" ref="C40"/>
    <hyperlink display="ext_walls sheet" location="ext_walls!A1" ref="C42"/>
    <hyperlink display="roof sheet" location="roof!A1" ref="C44"/>
    <hyperlink display="floor sheet" location="floor!A1" ref="C48"/>
    <hyperlink display="foundation sheet" location="foundation!A1" ref="C51"/>
    <hyperlink display="occupancy sheet" location="occupancy!A1" ref="C52"/>
  </hyperlinks>
  <printOptions/>
  <pageMargins bottom="0.75" footer="0.0" header="0.0" left="0.7" right="0.7" top="0.75"/>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1.29"/>
    <col customWidth="1" min="5" max="5" width="16.29"/>
    <col customWidth="1" min="6" max="6" width="15.29"/>
    <col customWidth="1" min="7" max="7" width="13.43"/>
    <col customWidth="1" min="8" max="8" width="5.0"/>
    <col customWidth="1" min="9" max="9" width="5.29"/>
    <col customWidth="1" min="10" max="10" width="52.86"/>
    <col customWidth="1" min="11" max="11" width="10.71"/>
    <col customWidth="1" min="12" max="27" width="8.86"/>
  </cols>
  <sheetData>
    <row r="1" ht="13.5" customHeight="1">
      <c r="A1" s="25" t="s">
        <v>49</v>
      </c>
      <c r="B1" s="26"/>
      <c r="C1" s="27"/>
      <c r="D1" s="27"/>
      <c r="E1" s="27"/>
      <c r="F1" s="27"/>
      <c r="G1" s="27"/>
      <c r="H1" s="26"/>
      <c r="I1" s="27"/>
      <c r="J1" s="27"/>
      <c r="K1" s="27"/>
      <c r="L1" s="28"/>
      <c r="M1" s="28"/>
      <c r="N1" s="28"/>
      <c r="O1" s="28"/>
      <c r="P1" s="28"/>
      <c r="Q1" s="28"/>
      <c r="R1" s="28"/>
      <c r="S1" s="28"/>
      <c r="T1" s="28"/>
      <c r="U1" s="28"/>
      <c r="V1" s="28"/>
      <c r="W1" s="28"/>
      <c r="X1" s="28"/>
      <c r="Y1" s="28"/>
      <c r="Z1" s="28"/>
      <c r="AA1" s="28"/>
    </row>
    <row r="2" ht="13.5" customHeight="1">
      <c r="A2" s="28"/>
      <c r="B2" s="29"/>
      <c r="C2" s="28"/>
      <c r="D2" s="28"/>
      <c r="E2" s="28"/>
      <c r="F2" s="28"/>
      <c r="G2" s="28"/>
      <c r="H2" s="29"/>
      <c r="I2" s="28"/>
      <c r="J2" s="28"/>
      <c r="K2" s="28"/>
      <c r="L2" s="28"/>
      <c r="M2" s="28"/>
      <c r="N2" s="28"/>
      <c r="O2" s="28"/>
      <c r="P2" s="28"/>
      <c r="Q2" s="28"/>
      <c r="R2" s="28"/>
      <c r="S2" s="28"/>
      <c r="T2" s="28"/>
      <c r="U2" s="28"/>
      <c r="V2" s="28"/>
      <c r="W2" s="28"/>
      <c r="X2" s="28"/>
      <c r="Y2" s="28"/>
      <c r="Z2" s="28"/>
      <c r="AA2" s="28"/>
    </row>
    <row r="3" ht="13.5" customHeight="1">
      <c r="A3" s="27" t="s">
        <v>50</v>
      </c>
      <c r="B3" s="30" t="s">
        <v>4</v>
      </c>
      <c r="C3" s="27" t="s">
        <v>51</v>
      </c>
      <c r="D3" s="25" t="s">
        <v>52</v>
      </c>
      <c r="E3" s="27" t="s">
        <v>53</v>
      </c>
      <c r="F3" s="27" t="s">
        <v>54</v>
      </c>
      <c r="G3" s="27" t="s">
        <v>55</v>
      </c>
      <c r="H3" s="26" t="s">
        <v>56</v>
      </c>
      <c r="I3" s="27" t="s">
        <v>57</v>
      </c>
      <c r="J3" s="27" t="s">
        <v>58</v>
      </c>
      <c r="K3" s="27" t="s">
        <v>59</v>
      </c>
      <c r="L3" s="28"/>
      <c r="M3" s="28"/>
      <c r="N3" s="28"/>
      <c r="O3" s="28"/>
      <c r="P3" s="28"/>
      <c r="Q3" s="28"/>
      <c r="R3" s="28"/>
      <c r="S3" s="28"/>
      <c r="T3" s="28"/>
      <c r="U3" s="28"/>
      <c r="V3" s="28"/>
      <c r="W3" s="28"/>
      <c r="X3" s="28"/>
      <c r="Y3" s="28"/>
      <c r="Z3" s="28"/>
      <c r="AA3" s="28"/>
    </row>
    <row r="4" ht="13.5" customHeight="1">
      <c r="A4" s="29" t="s">
        <v>60</v>
      </c>
      <c r="B4" s="29" t="s">
        <v>61</v>
      </c>
      <c r="C4" s="31" t="s">
        <v>62</v>
      </c>
      <c r="D4" s="31" t="s">
        <v>63</v>
      </c>
      <c r="E4" s="28"/>
      <c r="F4" s="28"/>
      <c r="G4" s="28"/>
      <c r="H4" s="32">
        <v>0.0</v>
      </c>
      <c r="I4" s="28"/>
      <c r="J4" s="28"/>
      <c r="K4" s="28"/>
      <c r="L4" s="28"/>
      <c r="M4" s="28"/>
      <c r="N4" s="28"/>
      <c r="O4" s="28"/>
      <c r="P4" s="28"/>
      <c r="Q4" s="28"/>
      <c r="R4" s="28"/>
      <c r="S4" s="28"/>
      <c r="T4" s="28"/>
      <c r="U4" s="28"/>
      <c r="V4" s="28"/>
      <c r="W4" s="28"/>
      <c r="X4" s="28"/>
      <c r="Y4" s="28"/>
      <c r="Z4" s="28"/>
      <c r="AA4" s="28"/>
    </row>
    <row r="5" ht="13.5" customHeight="1">
      <c r="C5" s="31" t="s">
        <v>64</v>
      </c>
      <c r="D5" s="31" t="s">
        <v>65</v>
      </c>
      <c r="E5" s="28"/>
      <c r="F5" s="28"/>
      <c r="G5" s="28"/>
      <c r="H5" s="29" t="s">
        <v>66</v>
      </c>
      <c r="I5" s="28"/>
      <c r="J5" s="28"/>
      <c r="K5" s="28"/>
      <c r="L5" s="28"/>
      <c r="M5" s="28"/>
      <c r="N5" s="28"/>
      <c r="O5" s="28"/>
      <c r="P5" s="28"/>
      <c r="Q5" s="28"/>
      <c r="R5" s="28"/>
      <c r="S5" s="28"/>
      <c r="T5" s="28"/>
      <c r="U5" s="28"/>
      <c r="V5" s="28"/>
      <c r="W5" s="28"/>
      <c r="X5" s="28"/>
      <c r="Y5" s="28"/>
      <c r="Z5" s="28"/>
      <c r="AA5" s="28"/>
    </row>
    <row r="6" ht="13.5" customHeight="1">
      <c r="C6" s="31" t="s">
        <v>67</v>
      </c>
      <c r="D6" s="31" t="s">
        <v>68</v>
      </c>
      <c r="E6" s="28"/>
      <c r="F6" s="28"/>
      <c r="G6" s="28"/>
      <c r="H6" s="29" t="s">
        <v>69</v>
      </c>
      <c r="I6" s="28"/>
      <c r="J6" s="28"/>
      <c r="K6" s="28"/>
      <c r="L6" s="28"/>
      <c r="M6" s="28"/>
      <c r="N6" s="28"/>
      <c r="O6" s="28"/>
      <c r="P6" s="28"/>
      <c r="Q6" s="28"/>
      <c r="R6" s="28"/>
      <c r="S6" s="28"/>
      <c r="T6" s="28"/>
      <c r="U6" s="28"/>
      <c r="V6" s="28"/>
      <c r="W6" s="28"/>
      <c r="X6" s="28"/>
      <c r="Y6" s="28"/>
      <c r="Z6" s="28"/>
      <c r="AA6" s="28"/>
    </row>
    <row r="7" ht="13.5" customHeight="1">
      <c r="C7" s="31" t="s">
        <v>70</v>
      </c>
      <c r="D7" s="31" t="s">
        <v>71</v>
      </c>
      <c r="E7" s="28"/>
      <c r="F7" s="28"/>
      <c r="G7" s="28"/>
      <c r="H7" s="29" t="s">
        <v>72</v>
      </c>
      <c r="I7" s="28"/>
      <c r="J7" s="28"/>
      <c r="K7" s="28"/>
      <c r="L7" s="28"/>
      <c r="M7" s="28"/>
      <c r="N7" s="28"/>
      <c r="O7" s="28"/>
      <c r="P7" s="28"/>
      <c r="Q7" s="28"/>
      <c r="R7" s="28"/>
      <c r="S7" s="28"/>
      <c r="T7" s="28"/>
      <c r="U7" s="28"/>
      <c r="V7" s="28"/>
      <c r="W7" s="28"/>
      <c r="X7" s="28"/>
      <c r="Y7" s="28"/>
      <c r="Z7" s="28"/>
      <c r="AA7" s="28"/>
    </row>
    <row r="8" ht="13.5" customHeight="1">
      <c r="C8" s="31" t="s">
        <v>73</v>
      </c>
      <c r="D8" s="31" t="s">
        <v>74</v>
      </c>
      <c r="E8" s="28"/>
      <c r="F8" s="28"/>
      <c r="G8" s="28"/>
      <c r="H8" s="29" t="s">
        <v>75</v>
      </c>
      <c r="I8" s="28"/>
      <c r="J8" s="28"/>
      <c r="K8" s="28"/>
      <c r="L8" s="28"/>
      <c r="M8" s="28"/>
      <c r="N8" s="28"/>
      <c r="O8" s="28"/>
      <c r="P8" s="28"/>
      <c r="Q8" s="28"/>
      <c r="R8" s="28"/>
      <c r="S8" s="28"/>
      <c r="T8" s="28"/>
      <c r="U8" s="28"/>
      <c r="V8" s="28"/>
      <c r="W8" s="28"/>
      <c r="X8" s="28"/>
      <c r="Y8" s="28"/>
      <c r="Z8" s="28"/>
      <c r="AA8" s="28"/>
    </row>
    <row r="9" ht="13.5" customHeight="1">
      <c r="C9" s="31" t="s">
        <v>76</v>
      </c>
      <c r="D9" s="31" t="s">
        <v>77</v>
      </c>
      <c r="E9" s="28"/>
      <c r="F9" s="28"/>
      <c r="G9" s="28"/>
      <c r="H9" s="29" t="s">
        <v>78</v>
      </c>
      <c r="I9" s="28"/>
      <c r="J9" s="28"/>
      <c r="K9" s="28"/>
      <c r="L9" s="28"/>
      <c r="M9" s="28"/>
      <c r="N9" s="28"/>
      <c r="O9" s="28"/>
      <c r="P9" s="28"/>
      <c r="Q9" s="28"/>
      <c r="R9" s="28"/>
      <c r="S9" s="28"/>
      <c r="T9" s="28"/>
      <c r="U9" s="28"/>
      <c r="V9" s="28"/>
      <c r="W9" s="28"/>
      <c r="X9" s="28"/>
      <c r="Y9" s="28"/>
      <c r="Z9" s="28"/>
      <c r="AA9" s="28"/>
    </row>
    <row r="10" ht="13.5" customHeight="1">
      <c r="C10" s="31" t="s">
        <v>79</v>
      </c>
      <c r="D10" s="31" t="s">
        <v>80</v>
      </c>
      <c r="E10" s="28"/>
      <c r="F10" s="28"/>
      <c r="G10" s="28"/>
      <c r="H10" s="29" t="s">
        <v>81</v>
      </c>
      <c r="I10" s="28"/>
      <c r="J10" s="28"/>
      <c r="K10" s="28"/>
      <c r="L10" s="28"/>
      <c r="M10" s="28"/>
      <c r="N10" s="28"/>
      <c r="O10" s="28"/>
      <c r="P10" s="28"/>
      <c r="Q10" s="28"/>
      <c r="R10" s="28"/>
      <c r="S10" s="28"/>
      <c r="T10" s="28"/>
      <c r="U10" s="28"/>
      <c r="V10" s="28"/>
      <c r="W10" s="28"/>
      <c r="X10" s="28"/>
      <c r="Y10" s="28"/>
      <c r="Z10" s="28"/>
      <c r="AA10" s="28"/>
    </row>
    <row r="11" ht="13.5" customHeight="1">
      <c r="C11" s="31" t="s">
        <v>82</v>
      </c>
      <c r="D11" s="31" t="s">
        <v>83</v>
      </c>
      <c r="E11" s="28"/>
      <c r="F11" s="28"/>
      <c r="G11" s="28"/>
      <c r="H11" s="29" t="s">
        <v>84</v>
      </c>
      <c r="I11" s="28"/>
      <c r="J11" s="28"/>
      <c r="K11" s="28"/>
      <c r="L11" s="28"/>
      <c r="M11" s="28"/>
      <c r="N11" s="28"/>
      <c r="O11" s="28"/>
      <c r="P11" s="28"/>
      <c r="Q11" s="28"/>
      <c r="R11" s="28"/>
      <c r="S11" s="28"/>
      <c r="T11" s="28"/>
      <c r="U11" s="28"/>
      <c r="V11" s="28"/>
      <c r="W11" s="28"/>
      <c r="X11" s="28"/>
      <c r="Y11" s="28"/>
      <c r="Z11" s="28"/>
      <c r="AA11" s="28"/>
    </row>
    <row r="12" ht="13.5" customHeight="1">
      <c r="C12" s="31" t="s">
        <v>85</v>
      </c>
      <c r="D12" s="31" t="s">
        <v>86</v>
      </c>
      <c r="E12" s="28"/>
      <c r="F12" s="28"/>
      <c r="G12" s="28"/>
      <c r="H12" s="29" t="s">
        <v>87</v>
      </c>
      <c r="I12" s="28"/>
      <c r="J12" s="28"/>
      <c r="K12" s="28"/>
      <c r="L12" s="28"/>
      <c r="M12" s="28"/>
      <c r="N12" s="28"/>
      <c r="O12" s="28"/>
      <c r="P12" s="28"/>
      <c r="Q12" s="28"/>
      <c r="R12" s="28"/>
      <c r="S12" s="28"/>
      <c r="T12" s="28"/>
      <c r="U12" s="28"/>
      <c r="V12" s="28"/>
      <c r="W12" s="28"/>
      <c r="X12" s="28"/>
      <c r="Y12" s="28"/>
      <c r="Z12" s="28"/>
      <c r="AA12" s="28"/>
    </row>
    <row r="13" ht="13.5" customHeight="1">
      <c r="C13" s="31" t="s">
        <v>88</v>
      </c>
      <c r="D13" s="31" t="s">
        <v>89</v>
      </c>
      <c r="E13" s="28"/>
      <c r="F13" s="28"/>
      <c r="G13" s="28"/>
      <c r="H13" s="29" t="s">
        <v>90</v>
      </c>
      <c r="I13" s="28"/>
      <c r="J13" s="28"/>
      <c r="K13" s="28"/>
      <c r="L13" s="28"/>
      <c r="M13" s="28"/>
      <c r="N13" s="28"/>
      <c r="O13" s="28"/>
      <c r="P13" s="28"/>
      <c r="Q13" s="28"/>
      <c r="R13" s="28"/>
      <c r="S13" s="28"/>
      <c r="T13" s="28"/>
      <c r="U13" s="28"/>
      <c r="V13" s="28"/>
      <c r="W13" s="28"/>
      <c r="X13" s="28"/>
      <c r="Y13" s="28"/>
      <c r="Z13" s="28"/>
      <c r="AA13" s="28"/>
    </row>
    <row r="14" ht="13.5" customHeight="1">
      <c r="C14" s="31" t="s">
        <v>91</v>
      </c>
      <c r="D14" s="31" t="s">
        <v>92</v>
      </c>
      <c r="E14" s="28"/>
      <c r="F14" s="28"/>
      <c r="G14" s="28"/>
      <c r="H14" s="29" t="s">
        <v>93</v>
      </c>
      <c r="I14" s="28"/>
      <c r="J14" s="28"/>
      <c r="K14" s="28"/>
      <c r="L14" s="28"/>
      <c r="M14" s="28"/>
      <c r="N14" s="28"/>
      <c r="O14" s="28"/>
      <c r="P14" s="28"/>
      <c r="Q14" s="28"/>
      <c r="R14" s="28"/>
      <c r="S14" s="28"/>
      <c r="T14" s="28"/>
      <c r="U14" s="28"/>
      <c r="V14" s="28"/>
      <c r="W14" s="28"/>
      <c r="X14" s="28"/>
      <c r="Y14" s="28"/>
      <c r="Z14" s="28"/>
      <c r="AA14" s="28"/>
    </row>
    <row r="15" ht="13.5" customHeight="1">
      <c r="C15" s="31" t="s">
        <v>94</v>
      </c>
      <c r="D15" s="31" t="s">
        <v>95</v>
      </c>
      <c r="E15" s="28"/>
      <c r="F15" s="28"/>
      <c r="G15" s="28"/>
      <c r="H15" s="29" t="s">
        <v>96</v>
      </c>
      <c r="I15" s="28"/>
      <c r="J15" s="28"/>
      <c r="K15" s="28"/>
      <c r="L15" s="28"/>
      <c r="M15" s="28"/>
      <c r="N15" s="28"/>
      <c r="O15" s="28"/>
      <c r="P15" s="28"/>
      <c r="Q15" s="28"/>
      <c r="R15" s="28"/>
      <c r="S15" s="28"/>
      <c r="T15" s="28"/>
      <c r="U15" s="28"/>
      <c r="V15" s="28"/>
      <c r="W15" s="28"/>
      <c r="X15" s="28"/>
      <c r="Y15" s="28"/>
      <c r="Z15" s="28"/>
      <c r="AA15" s="28"/>
    </row>
    <row r="16" ht="13.5" customHeight="1">
      <c r="C16" s="31" t="s">
        <v>97</v>
      </c>
      <c r="D16" s="31" t="s">
        <v>98</v>
      </c>
      <c r="E16" s="28"/>
      <c r="F16" s="28"/>
      <c r="G16" s="28"/>
      <c r="H16" s="29" t="s">
        <v>99</v>
      </c>
      <c r="I16" s="28"/>
      <c r="J16" s="28"/>
      <c r="K16" s="28"/>
      <c r="L16" s="28"/>
      <c r="M16" s="28"/>
      <c r="N16" s="28"/>
      <c r="O16" s="28"/>
      <c r="P16" s="28"/>
      <c r="Q16" s="28"/>
      <c r="R16" s="28"/>
      <c r="S16" s="28"/>
      <c r="T16" s="28"/>
      <c r="U16" s="28"/>
      <c r="V16" s="28"/>
      <c r="W16" s="28"/>
      <c r="X16" s="28"/>
      <c r="Y16" s="28"/>
      <c r="Z16" s="28"/>
      <c r="AA16" s="28"/>
    </row>
    <row r="17" ht="13.5" customHeight="1">
      <c r="C17" s="31" t="s">
        <v>100</v>
      </c>
      <c r="D17" s="31" t="s">
        <v>101</v>
      </c>
      <c r="E17" s="28"/>
      <c r="F17" s="28"/>
      <c r="G17" s="28"/>
      <c r="H17" s="29" t="s">
        <v>102</v>
      </c>
      <c r="I17" s="28"/>
      <c r="J17" s="28"/>
      <c r="K17" s="28"/>
      <c r="L17" s="28"/>
      <c r="M17" s="28"/>
      <c r="N17" s="28"/>
      <c r="O17" s="28"/>
      <c r="P17" s="28"/>
      <c r="Q17" s="28"/>
      <c r="R17" s="28"/>
      <c r="S17" s="28"/>
      <c r="T17" s="28"/>
      <c r="U17" s="28"/>
      <c r="V17" s="28"/>
      <c r="W17" s="28"/>
      <c r="X17" s="28"/>
      <c r="Y17" s="28"/>
      <c r="Z17" s="28"/>
      <c r="AA17" s="28"/>
    </row>
    <row r="18" ht="13.5" customHeight="1">
      <c r="C18" s="31" t="s">
        <v>103</v>
      </c>
      <c r="D18" s="31" t="s">
        <v>104</v>
      </c>
      <c r="E18" s="28"/>
      <c r="F18" s="28"/>
      <c r="G18" s="28"/>
      <c r="H18" s="29" t="s">
        <v>105</v>
      </c>
      <c r="I18" s="28"/>
      <c r="J18" s="33" t="s">
        <v>106</v>
      </c>
      <c r="K18" s="28"/>
      <c r="L18" s="28"/>
      <c r="M18" s="28"/>
      <c r="N18" s="28"/>
      <c r="O18" s="28"/>
      <c r="P18" s="28"/>
      <c r="Q18" s="28"/>
      <c r="R18" s="28"/>
      <c r="S18" s="28"/>
      <c r="T18" s="28"/>
      <c r="U18" s="28"/>
      <c r="V18" s="28"/>
      <c r="W18" s="28"/>
      <c r="X18" s="28"/>
      <c r="Y18" s="28"/>
      <c r="Z18" s="28"/>
      <c r="AA18" s="28"/>
    </row>
    <row r="19" ht="13.5" customHeight="1">
      <c r="C19" s="31" t="s">
        <v>107</v>
      </c>
      <c r="D19" s="31" t="s">
        <v>108</v>
      </c>
      <c r="E19" s="28"/>
      <c r="F19" s="28"/>
      <c r="G19" s="28"/>
      <c r="H19" s="29" t="s">
        <v>109</v>
      </c>
      <c r="I19" s="28"/>
      <c r="J19" s="28"/>
      <c r="K19" s="28"/>
      <c r="L19" s="28"/>
      <c r="M19" s="28"/>
      <c r="N19" s="28"/>
      <c r="O19" s="28"/>
      <c r="P19" s="28"/>
      <c r="Q19" s="28"/>
      <c r="R19" s="28"/>
      <c r="S19" s="28"/>
      <c r="T19" s="28"/>
      <c r="U19" s="28"/>
      <c r="V19" s="28"/>
      <c r="W19" s="28"/>
      <c r="X19" s="28"/>
      <c r="Y19" s="28"/>
      <c r="Z19" s="28"/>
      <c r="AA19" s="28"/>
    </row>
    <row r="20" ht="13.5" customHeight="1">
      <c r="C20" s="31" t="s">
        <v>110</v>
      </c>
      <c r="D20" s="34" t="s">
        <v>111</v>
      </c>
      <c r="E20" s="28"/>
      <c r="F20" s="28"/>
      <c r="G20" s="28" t="s">
        <v>112</v>
      </c>
      <c r="H20" s="29" t="s">
        <v>113</v>
      </c>
      <c r="I20" s="28"/>
      <c r="J20" s="33" t="s">
        <v>114</v>
      </c>
      <c r="K20" s="28"/>
      <c r="L20" s="28"/>
      <c r="M20" s="28"/>
      <c r="N20" s="28"/>
      <c r="O20" s="28"/>
      <c r="P20" s="28"/>
      <c r="Q20" s="28"/>
      <c r="R20" s="28"/>
      <c r="S20" s="28"/>
      <c r="T20" s="28"/>
      <c r="U20" s="28"/>
      <c r="V20" s="28"/>
      <c r="W20" s="28"/>
      <c r="X20" s="28"/>
      <c r="Y20" s="28"/>
      <c r="Z20" s="28"/>
      <c r="AA20" s="28"/>
    </row>
    <row r="21" ht="13.5" customHeight="1">
      <c r="C21" s="31" t="s">
        <v>115</v>
      </c>
      <c r="D21" s="33" t="s">
        <v>116</v>
      </c>
      <c r="E21" s="28"/>
      <c r="F21" s="28"/>
      <c r="G21" s="31" t="s">
        <v>117</v>
      </c>
      <c r="H21" s="29" t="s">
        <v>118</v>
      </c>
      <c r="I21" s="28"/>
      <c r="J21" s="33" t="s">
        <v>119</v>
      </c>
      <c r="K21" s="28"/>
      <c r="L21" s="28"/>
      <c r="M21" s="28"/>
      <c r="N21" s="28"/>
      <c r="O21" s="28"/>
      <c r="P21" s="28"/>
      <c r="Q21" s="28"/>
      <c r="R21" s="28"/>
      <c r="S21" s="28"/>
      <c r="T21" s="28"/>
      <c r="U21" s="28"/>
      <c r="V21" s="28"/>
      <c r="W21" s="28"/>
      <c r="X21" s="28"/>
      <c r="Y21" s="28"/>
      <c r="Z21" s="28"/>
      <c r="AA21" s="28"/>
    </row>
    <row r="22" ht="13.5" customHeight="1">
      <c r="C22" s="31" t="s">
        <v>120</v>
      </c>
      <c r="D22" s="31" t="s">
        <v>121</v>
      </c>
      <c r="E22" s="28"/>
      <c r="F22" s="28"/>
      <c r="G22" s="28"/>
      <c r="H22" s="29" t="s">
        <v>122</v>
      </c>
      <c r="I22" s="28"/>
      <c r="J22" s="28"/>
      <c r="K22" s="28"/>
      <c r="L22" s="28"/>
      <c r="M22" s="28"/>
      <c r="N22" s="28"/>
      <c r="O22" s="28"/>
      <c r="P22" s="28"/>
      <c r="Q22" s="28"/>
      <c r="R22" s="28"/>
      <c r="S22" s="28"/>
      <c r="T22" s="28"/>
      <c r="U22" s="28"/>
      <c r="V22" s="28"/>
      <c r="W22" s="28"/>
      <c r="X22" s="28"/>
      <c r="Y22" s="28"/>
      <c r="Z22" s="28"/>
      <c r="AA22" s="28"/>
    </row>
    <row r="23" ht="13.5" customHeight="1">
      <c r="A23" s="32" t="s">
        <v>123</v>
      </c>
      <c r="B23" s="7" t="s">
        <v>124</v>
      </c>
      <c r="C23" s="31" t="s">
        <v>125</v>
      </c>
      <c r="D23" s="31" t="s">
        <v>126</v>
      </c>
      <c r="E23" s="28"/>
      <c r="F23" s="28" t="s">
        <v>127</v>
      </c>
      <c r="G23" s="28"/>
      <c r="H23" s="29" t="s">
        <v>128</v>
      </c>
      <c r="I23" s="28"/>
      <c r="J23" s="28"/>
      <c r="K23" s="28"/>
      <c r="L23" s="28"/>
      <c r="M23" s="28"/>
      <c r="N23" s="28"/>
      <c r="O23" s="28"/>
      <c r="P23" s="28"/>
      <c r="Q23" s="28"/>
      <c r="R23" s="28"/>
      <c r="S23" s="28"/>
      <c r="T23" s="28"/>
      <c r="U23" s="28"/>
      <c r="V23" s="28"/>
      <c r="W23" s="28"/>
      <c r="X23" s="28"/>
      <c r="Y23" s="28"/>
      <c r="Z23" s="28"/>
      <c r="AA23" s="28"/>
    </row>
    <row r="24" ht="13.5" customHeight="1">
      <c r="C24" s="31" t="s">
        <v>129</v>
      </c>
      <c r="D24" s="31" t="s">
        <v>130</v>
      </c>
      <c r="E24" s="28"/>
      <c r="F24" s="28" t="s">
        <v>127</v>
      </c>
      <c r="G24" s="28"/>
      <c r="H24" s="29" t="s">
        <v>66</v>
      </c>
      <c r="I24" s="28"/>
      <c r="J24" s="28"/>
      <c r="K24" s="28"/>
      <c r="L24" s="28"/>
      <c r="M24" s="28"/>
      <c r="N24" s="28"/>
      <c r="O24" s="28"/>
      <c r="P24" s="28"/>
      <c r="Q24" s="28"/>
      <c r="R24" s="28"/>
      <c r="S24" s="28"/>
      <c r="T24" s="28"/>
      <c r="U24" s="28"/>
      <c r="V24" s="28"/>
      <c r="W24" s="28"/>
      <c r="X24" s="28"/>
      <c r="Y24" s="28"/>
      <c r="Z24" s="28"/>
      <c r="AA24" s="28"/>
    </row>
    <row r="25" ht="13.5" customHeight="1">
      <c r="C25" s="31" t="s">
        <v>131</v>
      </c>
      <c r="D25" s="31" t="s">
        <v>132</v>
      </c>
      <c r="E25" s="28"/>
      <c r="F25" s="28" t="s">
        <v>133</v>
      </c>
      <c r="G25" s="28"/>
      <c r="H25" s="29" t="s">
        <v>69</v>
      </c>
      <c r="I25" s="28"/>
      <c r="J25" s="28"/>
      <c r="K25" s="28"/>
      <c r="L25" s="28"/>
      <c r="M25" s="28"/>
      <c r="N25" s="28"/>
      <c r="O25" s="28"/>
      <c r="P25" s="28"/>
      <c r="Q25" s="28"/>
      <c r="R25" s="28"/>
      <c r="S25" s="28"/>
      <c r="T25" s="28"/>
      <c r="U25" s="28"/>
      <c r="V25" s="28"/>
      <c r="W25" s="28"/>
      <c r="X25" s="28"/>
      <c r="Y25" s="28"/>
      <c r="Z25" s="28"/>
      <c r="AA25" s="28"/>
    </row>
    <row r="26" ht="13.5" customHeight="1">
      <c r="C26" s="31" t="s">
        <v>134</v>
      </c>
      <c r="D26" s="31" t="s">
        <v>135</v>
      </c>
      <c r="E26" s="28"/>
      <c r="F26" s="28" t="s">
        <v>133</v>
      </c>
      <c r="G26" s="28"/>
      <c r="H26" s="29" t="s">
        <v>72</v>
      </c>
      <c r="I26" s="28"/>
      <c r="J26" s="28"/>
      <c r="K26" s="28"/>
      <c r="L26" s="28"/>
      <c r="M26" s="28"/>
      <c r="N26" s="28"/>
      <c r="O26" s="28"/>
      <c r="P26" s="28"/>
      <c r="Q26" s="28"/>
      <c r="R26" s="28"/>
      <c r="S26" s="28"/>
      <c r="T26" s="28"/>
      <c r="U26" s="28"/>
      <c r="V26" s="28"/>
      <c r="W26" s="28"/>
      <c r="X26" s="28"/>
      <c r="Y26" s="28"/>
      <c r="Z26" s="28"/>
      <c r="AA26" s="28"/>
    </row>
    <row r="27" ht="13.5" customHeight="1">
      <c r="A27" s="32" t="s">
        <v>136</v>
      </c>
      <c r="B27" s="7" t="s">
        <v>137</v>
      </c>
      <c r="C27" s="31" t="s">
        <v>138</v>
      </c>
      <c r="D27" s="31" t="s">
        <v>139</v>
      </c>
      <c r="E27" s="28"/>
      <c r="F27" s="28" t="s">
        <v>73</v>
      </c>
      <c r="G27" s="28"/>
      <c r="H27" s="29">
        <v>0.0</v>
      </c>
      <c r="I27" s="28"/>
      <c r="J27" s="28"/>
      <c r="K27" s="28"/>
      <c r="L27" s="28"/>
      <c r="M27" s="28"/>
      <c r="N27" s="28"/>
      <c r="O27" s="28"/>
      <c r="P27" s="28"/>
      <c r="Q27" s="28"/>
      <c r="R27" s="28"/>
      <c r="S27" s="28"/>
      <c r="T27" s="28"/>
      <c r="U27" s="28"/>
      <c r="V27" s="28"/>
      <c r="W27" s="28"/>
      <c r="X27" s="28"/>
      <c r="Y27" s="28"/>
      <c r="Z27" s="28"/>
      <c r="AA27" s="28"/>
    </row>
    <row r="28" ht="13.5" customHeight="1">
      <c r="C28" s="31" t="s">
        <v>140</v>
      </c>
      <c r="D28" s="31" t="s">
        <v>141</v>
      </c>
      <c r="E28" s="28"/>
      <c r="F28" s="28" t="s">
        <v>73</v>
      </c>
      <c r="G28" s="28"/>
      <c r="H28" s="29">
        <v>100.0</v>
      </c>
      <c r="I28" s="28"/>
      <c r="J28" s="28"/>
      <c r="K28" s="28"/>
      <c r="L28" s="28"/>
      <c r="M28" s="28"/>
      <c r="N28" s="28"/>
      <c r="O28" s="28"/>
      <c r="P28" s="28"/>
      <c r="Q28" s="28"/>
      <c r="R28" s="28"/>
      <c r="S28" s="28"/>
      <c r="T28" s="28"/>
      <c r="U28" s="28"/>
      <c r="V28" s="28"/>
      <c r="W28" s="28"/>
      <c r="X28" s="28"/>
      <c r="Y28" s="28"/>
      <c r="Z28" s="28"/>
      <c r="AA28" s="28"/>
    </row>
    <row r="29" ht="13.5" customHeight="1">
      <c r="C29" s="31" t="s">
        <v>142</v>
      </c>
      <c r="D29" s="31" t="s">
        <v>143</v>
      </c>
      <c r="E29" s="28"/>
      <c r="F29" s="28" t="s">
        <v>73</v>
      </c>
      <c r="G29" s="28"/>
      <c r="H29" s="29">
        <v>200.0</v>
      </c>
      <c r="I29" s="28"/>
      <c r="J29" s="28"/>
      <c r="K29" s="28"/>
      <c r="L29" s="28"/>
      <c r="M29" s="28"/>
      <c r="N29" s="28"/>
      <c r="O29" s="28"/>
      <c r="P29" s="28"/>
      <c r="Q29" s="28"/>
      <c r="R29" s="28"/>
      <c r="S29" s="28"/>
      <c r="T29" s="28"/>
      <c r="U29" s="28"/>
      <c r="V29" s="28"/>
      <c r="W29" s="28"/>
      <c r="X29" s="28"/>
      <c r="Y29" s="28"/>
      <c r="Z29" s="28"/>
      <c r="AA29" s="28"/>
    </row>
    <row r="30" ht="13.5" customHeight="1">
      <c r="A30" s="32" t="s">
        <v>144</v>
      </c>
      <c r="B30" s="7" t="s">
        <v>145</v>
      </c>
      <c r="C30" s="31" t="s">
        <v>146</v>
      </c>
      <c r="D30" s="31" t="s">
        <v>147</v>
      </c>
      <c r="E30" s="28"/>
      <c r="F30" s="28" t="s">
        <v>76</v>
      </c>
      <c r="G30" s="28"/>
      <c r="H30" s="29">
        <v>0.0</v>
      </c>
      <c r="I30" s="28"/>
      <c r="J30" s="28"/>
      <c r="K30" s="28"/>
      <c r="L30" s="28"/>
      <c r="M30" s="28"/>
      <c r="N30" s="28"/>
      <c r="O30" s="28"/>
      <c r="P30" s="28"/>
      <c r="Q30" s="28"/>
      <c r="R30" s="28"/>
      <c r="S30" s="28"/>
      <c r="T30" s="28"/>
      <c r="U30" s="28"/>
      <c r="V30" s="28"/>
      <c r="W30" s="28"/>
      <c r="X30" s="28"/>
      <c r="Y30" s="28"/>
      <c r="Z30" s="28"/>
      <c r="AA30" s="28"/>
    </row>
    <row r="31" ht="13.5" customHeight="1">
      <c r="C31" s="31" t="s">
        <v>148</v>
      </c>
      <c r="D31" s="31" t="s">
        <v>149</v>
      </c>
      <c r="E31" s="28"/>
      <c r="F31" s="28" t="s">
        <v>76</v>
      </c>
      <c r="G31" s="28"/>
      <c r="H31" s="29">
        <v>100.0</v>
      </c>
      <c r="I31" s="28"/>
      <c r="J31" s="28"/>
      <c r="K31" s="28"/>
      <c r="L31" s="28"/>
      <c r="M31" s="28"/>
      <c r="N31" s="28"/>
      <c r="O31" s="28"/>
      <c r="P31" s="28"/>
      <c r="Q31" s="28"/>
      <c r="R31" s="28"/>
      <c r="S31" s="28"/>
      <c r="T31" s="28"/>
      <c r="U31" s="28"/>
      <c r="V31" s="28"/>
      <c r="W31" s="28"/>
      <c r="X31" s="28"/>
      <c r="Y31" s="28"/>
      <c r="Z31" s="28"/>
      <c r="AA31" s="28"/>
    </row>
    <row r="32" ht="13.5" customHeight="1">
      <c r="A32" s="32" t="s">
        <v>150</v>
      </c>
      <c r="B32" s="7" t="s">
        <v>151</v>
      </c>
      <c r="C32" s="31" t="s">
        <v>152</v>
      </c>
      <c r="D32" s="31" t="s">
        <v>153</v>
      </c>
      <c r="E32" s="28"/>
      <c r="F32" s="28" t="s">
        <v>154</v>
      </c>
      <c r="G32" s="28"/>
      <c r="H32" s="29">
        <v>0.0</v>
      </c>
      <c r="I32" s="28"/>
      <c r="J32" s="28"/>
      <c r="K32" s="28"/>
      <c r="L32" s="28"/>
      <c r="M32" s="28"/>
      <c r="N32" s="28"/>
      <c r="O32" s="28"/>
      <c r="P32" s="28"/>
      <c r="Q32" s="28"/>
      <c r="R32" s="28"/>
      <c r="S32" s="28"/>
      <c r="T32" s="28"/>
      <c r="U32" s="28"/>
      <c r="V32" s="28"/>
      <c r="W32" s="28"/>
      <c r="X32" s="28"/>
      <c r="Y32" s="28"/>
      <c r="Z32" s="28"/>
      <c r="AA32" s="28"/>
    </row>
    <row r="33" ht="13.5" customHeight="1">
      <c r="C33" s="31" t="s">
        <v>155</v>
      </c>
      <c r="D33" s="31" t="s">
        <v>156</v>
      </c>
      <c r="E33" s="28"/>
      <c r="F33" s="28" t="s">
        <v>154</v>
      </c>
      <c r="G33" s="28"/>
      <c r="H33" s="29">
        <v>100.0</v>
      </c>
      <c r="I33" s="28"/>
      <c r="J33" s="28"/>
      <c r="K33" s="28"/>
      <c r="L33" s="28"/>
      <c r="M33" s="28"/>
      <c r="N33" s="28"/>
      <c r="O33" s="28"/>
      <c r="P33" s="28"/>
      <c r="Q33" s="28"/>
      <c r="R33" s="28"/>
      <c r="S33" s="28"/>
      <c r="T33" s="28"/>
      <c r="U33" s="28"/>
      <c r="V33" s="28"/>
      <c r="W33" s="28"/>
      <c r="X33" s="28"/>
      <c r="Y33" s="28"/>
      <c r="Z33" s="28"/>
      <c r="AA33" s="28"/>
    </row>
    <row r="34" ht="13.5" customHeight="1">
      <c r="C34" s="31" t="s">
        <v>157</v>
      </c>
      <c r="D34" s="31" t="s">
        <v>158</v>
      </c>
      <c r="E34" s="28"/>
      <c r="F34" s="28" t="s">
        <v>154</v>
      </c>
      <c r="G34" s="28"/>
      <c r="H34" s="29">
        <v>200.0</v>
      </c>
      <c r="I34" s="28"/>
      <c r="J34" s="28"/>
      <c r="K34" s="28"/>
      <c r="L34" s="28"/>
      <c r="M34" s="28"/>
      <c r="N34" s="28"/>
      <c r="O34" s="28"/>
      <c r="P34" s="28"/>
      <c r="Q34" s="28"/>
      <c r="R34" s="28"/>
      <c r="S34" s="28"/>
      <c r="T34" s="28"/>
      <c r="U34" s="28"/>
      <c r="V34" s="28"/>
      <c r="W34" s="28"/>
      <c r="X34" s="28"/>
      <c r="Y34" s="28"/>
      <c r="Z34" s="28"/>
      <c r="AA34" s="28"/>
    </row>
    <row r="35" ht="13.5" customHeight="1">
      <c r="C35" s="31" t="s">
        <v>159</v>
      </c>
      <c r="D35" s="31" t="s">
        <v>160</v>
      </c>
      <c r="E35" s="28"/>
      <c r="F35" s="28" t="s">
        <v>154</v>
      </c>
      <c r="G35" s="28"/>
      <c r="H35" s="29">
        <v>300.0</v>
      </c>
      <c r="I35" s="28"/>
      <c r="J35" s="28"/>
      <c r="K35" s="28"/>
      <c r="L35" s="28"/>
      <c r="M35" s="28"/>
      <c r="N35" s="28"/>
      <c r="O35" s="28"/>
      <c r="P35" s="28"/>
      <c r="Q35" s="28"/>
      <c r="R35" s="28"/>
      <c r="S35" s="28"/>
      <c r="T35" s="28"/>
      <c r="U35" s="28"/>
      <c r="V35" s="28"/>
      <c r="W35" s="28"/>
      <c r="X35" s="28"/>
      <c r="Y35" s="28"/>
      <c r="Z35" s="28"/>
      <c r="AA35" s="28"/>
    </row>
    <row r="36" ht="13.5" customHeight="1">
      <c r="A36" s="29" t="s">
        <v>161</v>
      </c>
      <c r="B36" s="6" t="s">
        <v>162</v>
      </c>
      <c r="C36" s="31" t="s">
        <v>163</v>
      </c>
      <c r="D36" s="31" t="s">
        <v>164</v>
      </c>
      <c r="E36" s="28"/>
      <c r="F36" s="28" t="s">
        <v>154</v>
      </c>
      <c r="G36" s="28"/>
      <c r="H36" s="29">
        <v>0.0</v>
      </c>
      <c r="I36" s="28"/>
      <c r="J36" s="28"/>
      <c r="K36" s="28"/>
      <c r="L36" s="28"/>
      <c r="M36" s="28"/>
      <c r="N36" s="28"/>
      <c r="O36" s="28"/>
      <c r="P36" s="28"/>
      <c r="Q36" s="28"/>
      <c r="R36" s="28"/>
      <c r="S36" s="28"/>
      <c r="T36" s="28"/>
      <c r="U36" s="28"/>
      <c r="V36" s="28"/>
      <c r="W36" s="28"/>
      <c r="X36" s="28"/>
      <c r="Y36" s="28"/>
      <c r="Z36" s="28"/>
      <c r="AA36" s="28"/>
    </row>
    <row r="37" ht="13.5" customHeight="1">
      <c r="C37" s="31" t="s">
        <v>165</v>
      </c>
      <c r="D37" s="31" t="s">
        <v>166</v>
      </c>
      <c r="E37" s="28"/>
      <c r="F37" s="28" t="s">
        <v>154</v>
      </c>
      <c r="G37" s="28"/>
      <c r="H37" s="29">
        <v>100.0</v>
      </c>
      <c r="I37" s="28"/>
      <c r="J37" s="28"/>
      <c r="K37" s="28"/>
      <c r="L37" s="28"/>
      <c r="M37" s="28"/>
      <c r="N37" s="28"/>
      <c r="O37" s="28"/>
      <c r="P37" s="28"/>
      <c r="Q37" s="28"/>
      <c r="R37" s="28"/>
      <c r="S37" s="28"/>
      <c r="T37" s="28"/>
      <c r="U37" s="28"/>
      <c r="V37" s="28"/>
      <c r="W37" s="28"/>
      <c r="X37" s="28"/>
      <c r="Y37" s="28"/>
      <c r="Z37" s="28"/>
      <c r="AA37" s="28"/>
    </row>
    <row r="38" ht="13.5" customHeight="1">
      <c r="C38" s="31" t="s">
        <v>167</v>
      </c>
      <c r="D38" s="31" t="s">
        <v>168</v>
      </c>
      <c r="E38" s="28"/>
      <c r="F38" s="28" t="s">
        <v>154</v>
      </c>
      <c r="G38" s="28"/>
      <c r="H38" s="29">
        <v>200.0</v>
      </c>
      <c r="I38" s="28"/>
      <c r="J38" s="28"/>
      <c r="K38" s="28"/>
      <c r="L38" s="28"/>
      <c r="M38" s="28"/>
      <c r="N38" s="28"/>
      <c r="O38" s="28"/>
      <c r="P38" s="28"/>
      <c r="Q38" s="28"/>
      <c r="R38" s="28"/>
      <c r="S38" s="28"/>
      <c r="T38" s="28"/>
      <c r="U38" s="28"/>
      <c r="V38" s="28"/>
      <c r="W38" s="28"/>
      <c r="X38" s="28"/>
      <c r="Y38" s="28"/>
      <c r="Z38" s="28"/>
      <c r="AA38" s="28"/>
    </row>
    <row r="39" ht="13.5" customHeight="1">
      <c r="C39" s="31" t="s">
        <v>169</v>
      </c>
      <c r="D39" s="31" t="s">
        <v>170</v>
      </c>
      <c r="E39" s="28"/>
      <c r="F39" s="28" t="s">
        <v>154</v>
      </c>
      <c r="G39" s="28"/>
      <c r="H39" s="29">
        <v>300.0</v>
      </c>
      <c r="I39" s="28"/>
      <c r="J39" s="28"/>
      <c r="K39" s="28"/>
      <c r="L39" s="28"/>
      <c r="M39" s="28"/>
      <c r="N39" s="28"/>
      <c r="O39" s="28"/>
      <c r="P39" s="28"/>
      <c r="Q39" s="28"/>
      <c r="R39" s="28"/>
      <c r="S39" s="28"/>
      <c r="T39" s="28"/>
      <c r="U39" s="28"/>
      <c r="V39" s="28"/>
      <c r="W39" s="28"/>
      <c r="X39" s="28"/>
      <c r="Y39" s="28"/>
      <c r="Z39" s="28"/>
      <c r="AA39" s="28"/>
    </row>
    <row r="40" ht="13.5" customHeight="1">
      <c r="C40" s="31" t="s">
        <v>171</v>
      </c>
      <c r="D40" s="31" t="s">
        <v>172</v>
      </c>
      <c r="E40" s="28"/>
      <c r="F40" s="28" t="s">
        <v>154</v>
      </c>
      <c r="G40" s="28"/>
      <c r="H40" s="29">
        <v>400.0</v>
      </c>
      <c r="I40" s="28"/>
      <c r="J40" s="28"/>
      <c r="K40" s="28"/>
      <c r="L40" s="28"/>
      <c r="M40" s="28"/>
      <c r="N40" s="28"/>
      <c r="O40" s="28"/>
      <c r="P40" s="28"/>
      <c r="Q40" s="28"/>
      <c r="R40" s="28"/>
      <c r="S40" s="28"/>
      <c r="T40" s="28"/>
      <c r="U40" s="28"/>
      <c r="V40" s="28"/>
      <c r="W40" s="28"/>
      <c r="X40" s="28"/>
      <c r="Y40" s="28"/>
      <c r="Z40" s="28"/>
      <c r="AA40" s="28"/>
    </row>
    <row r="41" ht="13.5" customHeight="1">
      <c r="C41" s="31" t="s">
        <v>173</v>
      </c>
      <c r="D41" s="31" t="s">
        <v>174</v>
      </c>
      <c r="E41" s="28"/>
      <c r="F41" s="28" t="s">
        <v>154</v>
      </c>
      <c r="G41" s="28"/>
      <c r="H41" s="29">
        <v>500.0</v>
      </c>
      <c r="I41" s="28"/>
      <c r="J41" s="28"/>
      <c r="K41" s="28"/>
      <c r="L41" s="28"/>
      <c r="M41" s="28"/>
      <c r="N41" s="28"/>
      <c r="O41" s="28"/>
      <c r="P41" s="28"/>
      <c r="Q41" s="28"/>
      <c r="R41" s="28"/>
      <c r="S41" s="28"/>
      <c r="T41" s="28"/>
      <c r="U41" s="28"/>
      <c r="V41" s="28"/>
      <c r="W41" s="28"/>
      <c r="X41" s="28"/>
      <c r="Y41" s="28"/>
      <c r="Z41" s="28"/>
      <c r="AA41" s="28"/>
    </row>
    <row r="42" ht="13.5" customHeight="1">
      <c r="C42" s="31" t="s">
        <v>175</v>
      </c>
      <c r="D42" s="31" t="s">
        <v>176</v>
      </c>
      <c r="E42" s="28"/>
      <c r="F42" s="28" t="s">
        <v>154</v>
      </c>
      <c r="G42" s="28"/>
      <c r="H42" s="29">
        <v>600.0</v>
      </c>
      <c r="I42" s="28"/>
      <c r="J42" s="28"/>
      <c r="K42" s="28"/>
      <c r="L42" s="28"/>
      <c r="M42" s="28"/>
      <c r="N42" s="28"/>
      <c r="O42" s="28"/>
      <c r="P42" s="28"/>
      <c r="Q42" s="28"/>
      <c r="R42" s="28"/>
      <c r="S42" s="28"/>
      <c r="T42" s="28"/>
      <c r="U42" s="28"/>
      <c r="V42" s="28"/>
      <c r="W42" s="28"/>
      <c r="X42" s="28"/>
      <c r="Y42" s="28"/>
      <c r="Z42" s="28"/>
      <c r="AA42" s="28"/>
    </row>
    <row r="43" ht="13.5" customHeight="1">
      <c r="C43" s="31" t="s">
        <v>177</v>
      </c>
      <c r="D43" s="31" t="s">
        <v>178</v>
      </c>
      <c r="E43" s="28"/>
      <c r="F43" s="28" t="s">
        <v>154</v>
      </c>
      <c r="G43" s="28"/>
      <c r="H43" s="29">
        <v>700.0</v>
      </c>
      <c r="I43" s="28"/>
      <c r="J43" s="28"/>
      <c r="K43" s="28"/>
      <c r="L43" s="28"/>
      <c r="M43" s="28"/>
      <c r="N43" s="28"/>
      <c r="O43" s="28"/>
      <c r="P43" s="28"/>
      <c r="Q43" s="28"/>
      <c r="R43" s="28"/>
      <c r="S43" s="28"/>
      <c r="T43" s="28"/>
      <c r="U43" s="28"/>
      <c r="V43" s="28"/>
      <c r="W43" s="28"/>
      <c r="X43" s="28"/>
      <c r="Y43" s="28"/>
      <c r="Z43" s="28"/>
      <c r="AA43" s="28"/>
    </row>
    <row r="44" ht="13.5" customHeight="1">
      <c r="A44" s="32" t="s">
        <v>179</v>
      </c>
      <c r="B44" s="7" t="s">
        <v>8</v>
      </c>
      <c r="C44" s="31" t="s">
        <v>180</v>
      </c>
      <c r="D44" s="31" t="s">
        <v>181</v>
      </c>
      <c r="E44" s="28"/>
      <c r="F44" s="28" t="s">
        <v>182</v>
      </c>
      <c r="G44" s="28"/>
      <c r="H44" s="29">
        <v>0.0</v>
      </c>
      <c r="I44" s="28"/>
      <c r="J44" s="28"/>
      <c r="K44" s="28"/>
      <c r="L44" s="28"/>
      <c r="M44" s="28"/>
      <c r="N44" s="28"/>
      <c r="O44" s="28"/>
      <c r="P44" s="28"/>
      <c r="Q44" s="28"/>
      <c r="R44" s="28"/>
      <c r="S44" s="28"/>
      <c r="T44" s="28"/>
      <c r="U44" s="28"/>
      <c r="V44" s="28"/>
      <c r="W44" s="28"/>
      <c r="X44" s="28"/>
      <c r="Y44" s="28"/>
      <c r="Z44" s="28"/>
      <c r="AA44" s="28"/>
    </row>
    <row r="45" ht="13.5" customHeight="1">
      <c r="C45" s="31" t="s">
        <v>183</v>
      </c>
      <c r="D45" s="31" t="s">
        <v>184</v>
      </c>
      <c r="E45" s="28"/>
      <c r="F45" s="28" t="s">
        <v>182</v>
      </c>
      <c r="G45" s="28"/>
      <c r="H45" s="29">
        <v>100.0</v>
      </c>
      <c r="I45" s="28"/>
      <c r="J45" s="28"/>
      <c r="K45" s="28"/>
      <c r="L45" s="28"/>
      <c r="M45" s="28"/>
      <c r="N45" s="28"/>
      <c r="O45" s="28"/>
      <c r="P45" s="28"/>
      <c r="Q45" s="28"/>
      <c r="R45" s="28"/>
      <c r="S45" s="28"/>
      <c r="T45" s="28"/>
      <c r="U45" s="28"/>
      <c r="V45" s="28"/>
      <c r="W45" s="28"/>
      <c r="X45" s="28"/>
      <c r="Y45" s="28"/>
      <c r="Z45" s="28"/>
      <c r="AA45" s="28"/>
    </row>
    <row r="46" ht="13.5" customHeight="1">
      <c r="C46" s="31" t="s">
        <v>185</v>
      </c>
      <c r="D46" s="31" t="s">
        <v>186</v>
      </c>
      <c r="E46" s="28"/>
      <c r="F46" s="28" t="s">
        <v>182</v>
      </c>
      <c r="G46" s="28"/>
      <c r="H46" s="29">
        <v>200.0</v>
      </c>
      <c r="I46" s="28"/>
      <c r="J46" s="28"/>
      <c r="K46" s="28"/>
      <c r="L46" s="28"/>
      <c r="M46" s="28"/>
      <c r="N46" s="28"/>
      <c r="O46" s="28"/>
      <c r="P46" s="28"/>
      <c r="Q46" s="28"/>
      <c r="R46" s="28"/>
      <c r="S46" s="28"/>
      <c r="T46" s="28"/>
      <c r="U46" s="28"/>
      <c r="V46" s="28"/>
      <c r="W46" s="28"/>
      <c r="X46" s="28"/>
      <c r="Y46" s="28"/>
      <c r="Z46" s="28"/>
      <c r="AA46" s="28"/>
    </row>
    <row r="47" ht="13.5" customHeight="1">
      <c r="A47" s="32" t="s">
        <v>187</v>
      </c>
      <c r="B47" s="7" t="s">
        <v>188</v>
      </c>
      <c r="C47" s="31" t="s">
        <v>189</v>
      </c>
      <c r="D47" s="31" t="s">
        <v>190</v>
      </c>
      <c r="E47" s="28"/>
      <c r="F47" s="28" t="s">
        <v>100</v>
      </c>
      <c r="G47" s="28"/>
      <c r="H47" s="29">
        <v>0.0</v>
      </c>
      <c r="I47" s="28"/>
      <c r="J47" s="28"/>
      <c r="K47" s="28"/>
      <c r="L47" s="28"/>
      <c r="M47" s="28"/>
      <c r="N47" s="28"/>
      <c r="O47" s="28"/>
      <c r="P47" s="28"/>
      <c r="Q47" s="28"/>
      <c r="R47" s="28"/>
      <c r="S47" s="28"/>
      <c r="T47" s="28"/>
      <c r="U47" s="28"/>
      <c r="V47" s="28"/>
      <c r="W47" s="28"/>
      <c r="X47" s="28"/>
      <c r="Y47" s="28"/>
      <c r="Z47" s="28"/>
      <c r="AA47" s="28"/>
    </row>
    <row r="48" ht="13.5" customHeight="1">
      <c r="C48" s="31" t="s">
        <v>191</v>
      </c>
      <c r="D48" s="31" t="s">
        <v>192</v>
      </c>
      <c r="E48" s="28"/>
      <c r="F48" s="28" t="s">
        <v>100</v>
      </c>
      <c r="G48" s="28"/>
      <c r="H48" s="29">
        <v>100.0</v>
      </c>
      <c r="I48" s="28"/>
      <c r="J48" s="28"/>
      <c r="K48" s="28"/>
      <c r="L48" s="28"/>
      <c r="M48" s="28"/>
      <c r="N48" s="28"/>
      <c r="O48" s="28"/>
      <c r="P48" s="28"/>
      <c r="Q48" s="28"/>
      <c r="R48" s="28"/>
      <c r="S48" s="28"/>
      <c r="T48" s="28"/>
      <c r="U48" s="28"/>
      <c r="V48" s="28"/>
      <c r="W48" s="28"/>
      <c r="X48" s="28"/>
      <c r="Y48" s="28"/>
      <c r="Z48" s="28"/>
      <c r="AA48" s="28"/>
    </row>
    <row r="49" ht="13.5" customHeight="1">
      <c r="C49" s="31" t="s">
        <v>193</v>
      </c>
      <c r="D49" s="31" t="s">
        <v>194</v>
      </c>
      <c r="E49" s="28"/>
      <c r="F49" s="28" t="s">
        <v>100</v>
      </c>
      <c r="G49" s="28"/>
      <c r="H49" s="29">
        <v>200.0</v>
      </c>
      <c r="I49" s="28"/>
      <c r="J49" s="28"/>
      <c r="K49" s="28"/>
      <c r="L49" s="28"/>
      <c r="M49" s="28"/>
      <c r="N49" s="28"/>
      <c r="O49" s="28"/>
      <c r="P49" s="28"/>
      <c r="Q49" s="28"/>
      <c r="R49" s="28"/>
      <c r="S49" s="28"/>
      <c r="T49" s="28"/>
      <c r="U49" s="28"/>
      <c r="V49" s="28"/>
      <c r="W49" s="28"/>
      <c r="X49" s="28"/>
      <c r="Y49" s="28"/>
      <c r="Z49" s="28"/>
      <c r="AA49" s="28"/>
    </row>
    <row r="50" ht="13.5" customHeight="1">
      <c r="C50" s="31" t="s">
        <v>195</v>
      </c>
      <c r="D50" s="31" t="s">
        <v>196</v>
      </c>
      <c r="E50" s="28"/>
      <c r="F50" s="28" t="s">
        <v>100</v>
      </c>
      <c r="G50" s="28"/>
      <c r="H50" s="29">
        <v>300.0</v>
      </c>
      <c r="I50" s="28"/>
      <c r="J50" s="28"/>
      <c r="K50" s="28"/>
      <c r="L50" s="28"/>
      <c r="M50" s="28"/>
      <c r="N50" s="28"/>
      <c r="O50" s="28"/>
      <c r="P50" s="28"/>
      <c r="Q50" s="28"/>
      <c r="R50" s="28"/>
      <c r="S50" s="28"/>
      <c r="T50" s="28"/>
      <c r="U50" s="28"/>
      <c r="V50" s="28"/>
      <c r="W50" s="28"/>
      <c r="X50" s="28"/>
      <c r="Y50" s="28"/>
      <c r="Z50" s="28"/>
      <c r="AA50" s="28"/>
    </row>
    <row r="51" ht="13.5" customHeight="1">
      <c r="C51" s="31" t="s">
        <v>197</v>
      </c>
      <c r="D51" s="31" t="s">
        <v>198</v>
      </c>
      <c r="E51" s="28"/>
      <c r="F51" s="28" t="s">
        <v>100</v>
      </c>
      <c r="G51" s="28"/>
      <c r="H51" s="29">
        <v>400.0</v>
      </c>
      <c r="I51" s="28"/>
      <c r="J51" s="28"/>
      <c r="K51" s="28"/>
      <c r="L51" s="28"/>
      <c r="M51" s="28"/>
      <c r="N51" s="28"/>
      <c r="O51" s="28"/>
      <c r="P51" s="28"/>
      <c r="Q51" s="28"/>
      <c r="R51" s="28"/>
      <c r="S51" s="28"/>
      <c r="T51" s="28"/>
      <c r="U51" s="28"/>
      <c r="V51" s="28"/>
      <c r="W51" s="28"/>
      <c r="X51" s="28"/>
      <c r="Y51" s="28"/>
      <c r="Z51" s="28"/>
      <c r="AA51" s="28"/>
    </row>
    <row r="52" ht="13.5" customHeight="1">
      <c r="C52" s="31" t="s">
        <v>199</v>
      </c>
      <c r="D52" s="31" t="s">
        <v>200</v>
      </c>
      <c r="E52" s="28"/>
      <c r="F52" s="28" t="s">
        <v>100</v>
      </c>
      <c r="G52" s="28"/>
      <c r="H52" s="29">
        <v>500.0</v>
      </c>
      <c r="I52" s="28"/>
      <c r="J52" s="28"/>
      <c r="K52" s="28"/>
      <c r="L52" s="28"/>
      <c r="M52" s="28"/>
      <c r="N52" s="28"/>
      <c r="O52" s="28"/>
      <c r="P52" s="28"/>
      <c r="Q52" s="28"/>
      <c r="R52" s="28"/>
      <c r="S52" s="28"/>
      <c r="T52" s="28"/>
      <c r="U52" s="28"/>
      <c r="V52" s="28"/>
      <c r="W52" s="28"/>
      <c r="X52" s="28"/>
      <c r="Y52" s="28"/>
      <c r="Z52" s="28"/>
      <c r="AA52" s="28"/>
    </row>
    <row r="53" ht="13.5" customHeight="1">
      <c r="A53" s="29" t="s">
        <v>201</v>
      </c>
      <c r="B53" s="6" t="s">
        <v>202</v>
      </c>
      <c r="C53" s="31" t="s">
        <v>203</v>
      </c>
      <c r="D53" s="31" t="s">
        <v>204</v>
      </c>
      <c r="E53" s="28"/>
      <c r="F53" s="28" t="s">
        <v>154</v>
      </c>
      <c r="G53" s="28"/>
      <c r="H53" s="29" t="s">
        <v>128</v>
      </c>
      <c r="I53" s="28"/>
      <c r="J53" s="28"/>
      <c r="K53" s="28"/>
      <c r="L53" s="28"/>
      <c r="M53" s="28"/>
      <c r="N53" s="28"/>
      <c r="O53" s="28"/>
      <c r="P53" s="28"/>
      <c r="Q53" s="28"/>
      <c r="R53" s="28"/>
      <c r="S53" s="28"/>
      <c r="T53" s="28"/>
      <c r="U53" s="28"/>
      <c r="V53" s="28"/>
      <c r="W53" s="28"/>
      <c r="X53" s="28"/>
      <c r="Y53" s="28"/>
      <c r="Z53" s="28"/>
      <c r="AA53" s="28"/>
    </row>
    <row r="54" ht="13.5" customHeight="1">
      <c r="C54" s="31" t="s">
        <v>205</v>
      </c>
      <c r="D54" s="31" t="s">
        <v>206</v>
      </c>
      <c r="E54" s="28"/>
      <c r="F54" s="28" t="s">
        <v>154</v>
      </c>
      <c r="G54" s="28"/>
      <c r="H54" s="29" t="s">
        <v>66</v>
      </c>
      <c r="I54" s="28"/>
      <c r="J54" s="28"/>
      <c r="K54" s="28"/>
      <c r="L54" s="28"/>
      <c r="M54" s="28"/>
      <c r="N54" s="28"/>
      <c r="O54" s="28"/>
      <c r="P54" s="28"/>
      <c r="Q54" s="28"/>
      <c r="R54" s="28"/>
      <c r="S54" s="28"/>
      <c r="T54" s="28"/>
      <c r="U54" s="28"/>
      <c r="V54" s="28"/>
      <c r="W54" s="28"/>
      <c r="X54" s="28"/>
      <c r="Y54" s="28"/>
      <c r="Z54" s="28"/>
      <c r="AA54" s="28"/>
    </row>
    <row r="55" ht="13.5" customHeight="1">
      <c r="C55" s="31" t="s">
        <v>207</v>
      </c>
      <c r="D55" s="31" t="s">
        <v>208</v>
      </c>
      <c r="E55" s="28"/>
      <c r="F55" s="28" t="s">
        <v>154</v>
      </c>
      <c r="G55" s="28"/>
      <c r="H55" s="29" t="s">
        <v>69</v>
      </c>
      <c r="I55" s="28"/>
      <c r="J55" s="28"/>
      <c r="K55" s="28"/>
      <c r="L55" s="28"/>
      <c r="M55" s="28"/>
      <c r="N55" s="28"/>
      <c r="O55" s="28"/>
      <c r="P55" s="28"/>
      <c r="Q55" s="28"/>
      <c r="R55" s="28"/>
      <c r="S55" s="28"/>
      <c r="T55" s="28"/>
      <c r="U55" s="28"/>
      <c r="V55" s="28"/>
      <c r="W55" s="28"/>
      <c r="X55" s="28"/>
      <c r="Y55" s="28"/>
      <c r="Z55" s="28"/>
      <c r="AA55" s="28"/>
    </row>
    <row r="56" ht="13.5" customHeight="1">
      <c r="C56" s="31" t="s">
        <v>209</v>
      </c>
      <c r="D56" s="31" t="s">
        <v>210</v>
      </c>
      <c r="E56" s="28"/>
      <c r="F56" s="28" t="s">
        <v>154</v>
      </c>
      <c r="G56" s="28"/>
      <c r="H56" s="29" t="s">
        <v>72</v>
      </c>
      <c r="I56" s="28"/>
      <c r="J56" s="28"/>
      <c r="K56" s="28"/>
      <c r="L56" s="28"/>
      <c r="M56" s="28"/>
      <c r="N56" s="28"/>
      <c r="O56" s="28"/>
      <c r="P56" s="28"/>
      <c r="Q56" s="28"/>
      <c r="R56" s="28"/>
      <c r="S56" s="28"/>
      <c r="T56" s="28"/>
      <c r="U56" s="28"/>
      <c r="V56" s="28"/>
      <c r="W56" s="28"/>
      <c r="X56" s="28"/>
      <c r="Y56" s="28"/>
      <c r="Z56" s="28"/>
      <c r="AA56" s="28"/>
    </row>
    <row r="57" ht="13.5" customHeight="1">
      <c r="C57" s="31" t="s">
        <v>211</v>
      </c>
      <c r="D57" s="31" t="s">
        <v>212</v>
      </c>
      <c r="E57" s="28"/>
      <c r="F57" s="28" t="s">
        <v>154</v>
      </c>
      <c r="G57" s="28"/>
      <c r="H57" s="29" t="s">
        <v>75</v>
      </c>
      <c r="I57" s="28"/>
      <c r="J57" s="28"/>
      <c r="K57" s="28"/>
      <c r="L57" s="28"/>
      <c r="M57" s="28"/>
      <c r="N57" s="28"/>
      <c r="O57" s="28"/>
      <c r="P57" s="28"/>
      <c r="Q57" s="28"/>
      <c r="R57" s="28"/>
      <c r="S57" s="28"/>
      <c r="T57" s="28"/>
      <c r="U57" s="28"/>
      <c r="V57" s="28"/>
      <c r="W57" s="28"/>
      <c r="X57" s="28"/>
      <c r="Y57" s="28"/>
      <c r="Z57" s="28"/>
      <c r="AA57" s="28"/>
    </row>
    <row r="58" ht="13.5" customHeight="1">
      <c r="A58" s="29" t="s">
        <v>213</v>
      </c>
      <c r="B58" s="6" t="s">
        <v>214</v>
      </c>
      <c r="C58" s="31" t="s">
        <v>215</v>
      </c>
      <c r="D58" s="31" t="s">
        <v>216</v>
      </c>
      <c r="E58" s="28"/>
      <c r="F58" s="28" t="s">
        <v>217</v>
      </c>
      <c r="G58" s="28"/>
      <c r="H58" s="29" t="s">
        <v>128</v>
      </c>
      <c r="I58" s="28"/>
      <c r="J58" s="28"/>
      <c r="K58" s="28"/>
      <c r="L58" s="28"/>
      <c r="M58" s="28"/>
      <c r="N58" s="28"/>
      <c r="O58" s="28"/>
      <c r="P58" s="28"/>
      <c r="Q58" s="28"/>
      <c r="R58" s="28"/>
      <c r="S58" s="28"/>
      <c r="T58" s="28"/>
      <c r="U58" s="28"/>
      <c r="V58" s="28"/>
      <c r="W58" s="28"/>
      <c r="X58" s="28"/>
      <c r="Y58" s="28"/>
      <c r="Z58" s="28"/>
      <c r="AA58" s="28"/>
    </row>
    <row r="59" ht="13.5" customHeight="1">
      <c r="C59" s="31" t="s">
        <v>218</v>
      </c>
      <c r="D59" s="31" t="s">
        <v>219</v>
      </c>
      <c r="E59" s="28"/>
      <c r="F59" s="28" t="s">
        <v>217</v>
      </c>
      <c r="G59" s="28"/>
      <c r="H59" s="29" t="s">
        <v>66</v>
      </c>
      <c r="I59" s="28"/>
      <c r="J59" s="28"/>
      <c r="K59" s="28"/>
      <c r="L59" s="28"/>
      <c r="M59" s="28"/>
      <c r="N59" s="28"/>
      <c r="O59" s="28"/>
      <c r="P59" s="28"/>
      <c r="Q59" s="28"/>
      <c r="R59" s="28"/>
      <c r="S59" s="28"/>
      <c r="T59" s="28"/>
      <c r="U59" s="28"/>
      <c r="V59" s="28"/>
      <c r="W59" s="28"/>
      <c r="X59" s="28"/>
      <c r="Y59" s="28"/>
      <c r="Z59" s="28"/>
      <c r="AA59" s="28"/>
    </row>
    <row r="60" ht="13.5" customHeight="1">
      <c r="C60" s="31" t="s">
        <v>220</v>
      </c>
      <c r="D60" s="31" t="s">
        <v>221</v>
      </c>
      <c r="E60" s="28"/>
      <c r="F60" s="28" t="s">
        <v>217</v>
      </c>
      <c r="G60" s="28"/>
      <c r="H60" s="29" t="s">
        <v>69</v>
      </c>
      <c r="I60" s="28"/>
      <c r="J60" s="28"/>
      <c r="K60" s="28"/>
      <c r="L60" s="28"/>
      <c r="M60" s="28"/>
      <c r="N60" s="28"/>
      <c r="O60" s="28"/>
      <c r="P60" s="28"/>
      <c r="Q60" s="28"/>
      <c r="R60" s="28"/>
      <c r="S60" s="28"/>
      <c r="T60" s="28"/>
      <c r="U60" s="28"/>
      <c r="V60" s="28"/>
      <c r="W60" s="28"/>
      <c r="X60" s="28"/>
      <c r="Y60" s="28"/>
      <c r="Z60" s="28"/>
      <c r="AA60" s="28"/>
    </row>
    <row r="61" ht="13.5" customHeight="1">
      <c r="C61" s="31" t="s">
        <v>222</v>
      </c>
      <c r="D61" s="31" t="s">
        <v>223</v>
      </c>
      <c r="E61" s="28"/>
      <c r="F61" s="28" t="s">
        <v>217</v>
      </c>
      <c r="G61" s="28"/>
      <c r="H61" s="29" t="s">
        <v>72</v>
      </c>
      <c r="I61" s="28"/>
      <c r="J61" s="28"/>
      <c r="K61" s="28"/>
      <c r="L61" s="28"/>
      <c r="M61" s="28"/>
      <c r="N61" s="28"/>
      <c r="O61" s="28"/>
      <c r="P61" s="28"/>
      <c r="Q61" s="28"/>
      <c r="R61" s="28"/>
      <c r="S61" s="28"/>
      <c r="T61" s="28"/>
      <c r="U61" s="28"/>
      <c r="V61" s="28"/>
      <c r="W61" s="28"/>
      <c r="X61" s="28"/>
      <c r="Y61" s="28"/>
      <c r="Z61" s="28"/>
      <c r="AA61" s="28"/>
    </row>
    <row r="62" ht="13.5" customHeight="1">
      <c r="C62" s="31" t="s">
        <v>224</v>
      </c>
      <c r="D62" s="31" t="s">
        <v>225</v>
      </c>
      <c r="E62" s="28"/>
      <c r="F62" s="28" t="s">
        <v>217</v>
      </c>
      <c r="G62" s="28"/>
      <c r="H62" s="29" t="s">
        <v>75</v>
      </c>
      <c r="I62" s="28"/>
      <c r="J62" s="28"/>
      <c r="K62" s="28"/>
      <c r="L62" s="28"/>
      <c r="M62" s="28"/>
      <c r="N62" s="28"/>
      <c r="O62" s="28"/>
      <c r="P62" s="28"/>
      <c r="Q62" s="28"/>
      <c r="R62" s="28"/>
      <c r="S62" s="28"/>
      <c r="T62" s="28"/>
      <c r="U62" s="28"/>
      <c r="V62" s="28"/>
      <c r="W62" s="28"/>
      <c r="X62" s="28"/>
      <c r="Y62" s="28"/>
      <c r="Z62" s="28"/>
      <c r="AA62" s="28"/>
    </row>
    <row r="63" ht="13.5" customHeight="1">
      <c r="C63" s="31" t="s">
        <v>226</v>
      </c>
      <c r="D63" s="31" t="s">
        <v>227</v>
      </c>
      <c r="E63" s="28"/>
      <c r="F63" s="28" t="s">
        <v>217</v>
      </c>
      <c r="G63" s="28"/>
      <c r="H63" s="29" t="s">
        <v>78</v>
      </c>
      <c r="I63" s="28"/>
      <c r="J63" s="28"/>
      <c r="K63" s="28"/>
      <c r="L63" s="28"/>
      <c r="M63" s="28"/>
      <c r="N63" s="28"/>
      <c r="O63" s="28"/>
      <c r="P63" s="28"/>
      <c r="Q63" s="28"/>
      <c r="R63" s="28"/>
      <c r="S63" s="28"/>
      <c r="T63" s="28"/>
      <c r="U63" s="28"/>
      <c r="V63" s="28"/>
      <c r="W63" s="28"/>
      <c r="X63" s="28"/>
      <c r="Y63" s="28"/>
      <c r="Z63" s="28"/>
      <c r="AA63" s="28"/>
    </row>
    <row r="64" ht="13.5" customHeight="1">
      <c r="C64" s="31" t="s">
        <v>228</v>
      </c>
      <c r="D64" s="31" t="s">
        <v>229</v>
      </c>
      <c r="E64" s="28"/>
      <c r="F64" s="28" t="s">
        <v>217</v>
      </c>
      <c r="G64" s="28"/>
      <c r="H64" s="29" t="s">
        <v>81</v>
      </c>
      <c r="I64" s="28"/>
      <c r="J64" s="28"/>
      <c r="K64" s="28"/>
      <c r="L64" s="28"/>
      <c r="M64" s="28"/>
      <c r="N64" s="28"/>
      <c r="O64" s="28"/>
      <c r="P64" s="28"/>
      <c r="Q64" s="28"/>
      <c r="R64" s="28"/>
      <c r="S64" s="28"/>
      <c r="T64" s="28"/>
      <c r="U64" s="28"/>
      <c r="V64" s="28"/>
      <c r="W64" s="28"/>
      <c r="X64" s="28"/>
      <c r="Y64" s="28"/>
      <c r="Z64" s="28"/>
      <c r="AA64" s="28"/>
    </row>
    <row r="65" ht="13.5" customHeight="1">
      <c r="A65" s="29" t="s">
        <v>230</v>
      </c>
      <c r="B65" s="6" t="s">
        <v>231</v>
      </c>
      <c r="C65" s="31" t="s">
        <v>232</v>
      </c>
      <c r="D65" s="31" t="s">
        <v>233</v>
      </c>
      <c r="E65" s="28"/>
      <c r="F65" s="28" t="s">
        <v>88</v>
      </c>
      <c r="G65" s="28"/>
      <c r="H65" s="29" t="s">
        <v>128</v>
      </c>
      <c r="I65" s="28"/>
      <c r="J65" s="28"/>
      <c r="K65" s="28"/>
      <c r="L65" s="28"/>
      <c r="M65" s="28"/>
      <c r="N65" s="28"/>
      <c r="O65" s="28"/>
      <c r="P65" s="28"/>
      <c r="Q65" s="28"/>
      <c r="R65" s="28"/>
      <c r="S65" s="28"/>
      <c r="T65" s="28"/>
      <c r="U65" s="28"/>
      <c r="V65" s="28"/>
      <c r="W65" s="28"/>
      <c r="X65" s="28"/>
      <c r="Y65" s="28"/>
      <c r="Z65" s="28"/>
      <c r="AA65" s="28"/>
    </row>
    <row r="66" ht="13.5" customHeight="1">
      <c r="C66" s="31" t="s">
        <v>234</v>
      </c>
      <c r="D66" s="31" t="s">
        <v>235</v>
      </c>
      <c r="E66" s="28"/>
      <c r="F66" s="28" t="s">
        <v>88</v>
      </c>
      <c r="G66" s="28"/>
      <c r="H66" s="29" t="s">
        <v>66</v>
      </c>
      <c r="I66" s="28"/>
      <c r="J66" s="28"/>
      <c r="K66" s="28"/>
      <c r="L66" s="28"/>
      <c r="M66" s="28"/>
      <c r="N66" s="28"/>
      <c r="O66" s="28"/>
      <c r="P66" s="28"/>
      <c r="Q66" s="28"/>
      <c r="R66" s="28"/>
      <c r="S66" s="28"/>
      <c r="T66" s="28"/>
      <c r="U66" s="28"/>
      <c r="V66" s="28"/>
      <c r="W66" s="28"/>
      <c r="X66" s="28"/>
      <c r="Y66" s="28"/>
      <c r="Z66" s="28"/>
      <c r="AA66" s="28"/>
    </row>
    <row r="67" ht="13.5" customHeight="1">
      <c r="C67" s="31" t="s">
        <v>236</v>
      </c>
      <c r="D67" s="31" t="s">
        <v>237</v>
      </c>
      <c r="E67" s="28"/>
      <c r="F67" s="28" t="s">
        <v>88</v>
      </c>
      <c r="G67" s="28"/>
      <c r="H67" s="29" t="s">
        <v>69</v>
      </c>
      <c r="I67" s="28"/>
      <c r="J67" s="28"/>
      <c r="K67" s="28"/>
      <c r="L67" s="28"/>
      <c r="M67" s="28"/>
      <c r="N67" s="28"/>
      <c r="O67" s="28"/>
      <c r="P67" s="28"/>
      <c r="Q67" s="28"/>
      <c r="R67" s="28"/>
      <c r="S67" s="28"/>
      <c r="T67" s="28"/>
      <c r="U67" s="28"/>
      <c r="V67" s="28"/>
      <c r="W67" s="28"/>
      <c r="X67" s="28"/>
      <c r="Y67" s="28"/>
      <c r="Z67" s="28"/>
      <c r="AA67" s="28"/>
    </row>
    <row r="68" ht="13.5" customHeight="1">
      <c r="C68" s="31" t="s">
        <v>238</v>
      </c>
      <c r="D68" s="31" t="s">
        <v>239</v>
      </c>
      <c r="E68" s="28"/>
      <c r="F68" s="28" t="s">
        <v>88</v>
      </c>
      <c r="G68" s="28"/>
      <c r="H68" s="29" t="s">
        <v>72</v>
      </c>
      <c r="I68" s="28"/>
      <c r="J68" s="28"/>
      <c r="K68" s="28"/>
      <c r="L68" s="28"/>
      <c r="M68" s="28"/>
      <c r="N68" s="28"/>
      <c r="O68" s="28"/>
      <c r="P68" s="28"/>
      <c r="Q68" s="28"/>
      <c r="R68" s="28"/>
      <c r="S68" s="28"/>
      <c r="T68" s="28"/>
      <c r="U68" s="28"/>
      <c r="V68" s="28"/>
      <c r="W68" s="28"/>
      <c r="X68" s="28"/>
      <c r="Y68" s="28"/>
      <c r="Z68" s="28"/>
      <c r="AA68" s="28"/>
    </row>
    <row r="69" ht="13.5" customHeight="1">
      <c r="C69" s="31" t="s">
        <v>240</v>
      </c>
      <c r="D69" s="31" t="s">
        <v>241</v>
      </c>
      <c r="E69" s="28"/>
      <c r="F69" s="28" t="s">
        <v>88</v>
      </c>
      <c r="G69" s="28"/>
      <c r="H69" s="29" t="s">
        <v>75</v>
      </c>
      <c r="I69" s="28"/>
      <c r="J69" s="28"/>
      <c r="K69" s="28"/>
      <c r="L69" s="28"/>
      <c r="M69" s="28"/>
      <c r="N69" s="28"/>
      <c r="O69" s="28"/>
      <c r="P69" s="28"/>
      <c r="Q69" s="28"/>
      <c r="R69" s="28"/>
      <c r="S69" s="28"/>
      <c r="T69" s="28"/>
      <c r="U69" s="28"/>
      <c r="V69" s="28"/>
      <c r="W69" s="28"/>
      <c r="X69" s="28"/>
      <c r="Y69" s="28"/>
      <c r="Z69" s="28"/>
      <c r="AA69" s="28"/>
    </row>
    <row r="70" ht="13.5" customHeight="1">
      <c r="A70" s="29" t="s">
        <v>242</v>
      </c>
      <c r="B70" s="6" t="s">
        <v>243</v>
      </c>
      <c r="C70" s="31" t="s">
        <v>244</v>
      </c>
      <c r="D70" s="31" t="s">
        <v>245</v>
      </c>
      <c r="E70" s="28"/>
      <c r="F70" s="28" t="s">
        <v>73</v>
      </c>
      <c r="G70" s="28"/>
      <c r="H70" s="29" t="s">
        <v>128</v>
      </c>
      <c r="I70" s="28"/>
      <c r="J70" s="28"/>
      <c r="K70" s="28"/>
      <c r="L70" s="28"/>
      <c r="M70" s="28"/>
      <c r="N70" s="28"/>
      <c r="O70" s="28"/>
      <c r="P70" s="28"/>
      <c r="Q70" s="28"/>
      <c r="R70" s="28"/>
      <c r="S70" s="28"/>
      <c r="T70" s="28"/>
      <c r="U70" s="28"/>
      <c r="V70" s="28"/>
      <c r="W70" s="28"/>
      <c r="X70" s="28"/>
      <c r="Y70" s="28"/>
      <c r="Z70" s="28"/>
      <c r="AA70" s="28"/>
    </row>
    <row r="71" ht="13.5" customHeight="1">
      <c r="C71" s="31" t="s">
        <v>246</v>
      </c>
      <c r="D71" s="31" t="s">
        <v>247</v>
      </c>
      <c r="E71" s="28"/>
      <c r="F71" s="28" t="s">
        <v>73</v>
      </c>
      <c r="G71" s="28"/>
      <c r="H71" s="29" t="s">
        <v>66</v>
      </c>
      <c r="I71" s="28"/>
      <c r="J71" s="28"/>
      <c r="K71" s="28"/>
      <c r="L71" s="28"/>
      <c r="M71" s="28"/>
      <c r="N71" s="28"/>
      <c r="O71" s="28"/>
      <c r="P71" s="28"/>
      <c r="Q71" s="28"/>
      <c r="R71" s="28"/>
      <c r="S71" s="28"/>
      <c r="T71" s="28"/>
      <c r="U71" s="28"/>
      <c r="V71" s="28"/>
      <c r="W71" s="28"/>
      <c r="X71" s="28"/>
      <c r="Y71" s="28"/>
      <c r="Z71" s="28"/>
      <c r="AA71" s="28"/>
    </row>
    <row r="72" ht="13.5" customHeight="1">
      <c r="C72" s="31" t="s">
        <v>248</v>
      </c>
      <c r="D72" s="31" t="s">
        <v>249</v>
      </c>
      <c r="E72" s="28"/>
      <c r="F72" s="28" t="s">
        <v>73</v>
      </c>
      <c r="G72" s="28"/>
      <c r="H72" s="29" t="s">
        <v>69</v>
      </c>
      <c r="I72" s="28"/>
      <c r="J72" s="28"/>
      <c r="K72" s="28"/>
      <c r="L72" s="28"/>
      <c r="M72" s="28"/>
      <c r="N72" s="28"/>
      <c r="O72" s="28"/>
      <c r="P72" s="28"/>
      <c r="Q72" s="28"/>
      <c r="R72" s="28"/>
      <c r="S72" s="28"/>
      <c r="T72" s="28"/>
      <c r="U72" s="28"/>
      <c r="V72" s="28"/>
      <c r="W72" s="28"/>
      <c r="X72" s="28"/>
      <c r="Y72" s="28"/>
      <c r="Z72" s="28"/>
      <c r="AA72" s="28"/>
    </row>
    <row r="73" ht="13.5" customHeight="1">
      <c r="A73" s="28"/>
      <c r="B73" s="29"/>
      <c r="C73" s="28"/>
      <c r="D73" s="28"/>
      <c r="E73" s="28"/>
      <c r="F73" s="28"/>
      <c r="G73" s="28"/>
      <c r="H73" s="29"/>
      <c r="I73" s="28"/>
      <c r="J73" s="28"/>
      <c r="K73" s="28"/>
      <c r="L73" s="28"/>
      <c r="M73" s="28"/>
      <c r="N73" s="28"/>
      <c r="O73" s="28"/>
      <c r="P73" s="28"/>
      <c r="Q73" s="28"/>
      <c r="R73" s="28"/>
      <c r="S73" s="28"/>
      <c r="T73" s="28"/>
      <c r="U73" s="28"/>
      <c r="V73" s="28"/>
      <c r="W73" s="28"/>
      <c r="X73" s="28"/>
      <c r="Y73" s="28"/>
      <c r="Z73" s="28"/>
      <c r="AA73" s="28"/>
    </row>
    <row r="74" ht="13.5" customHeight="1">
      <c r="A74" s="28"/>
      <c r="B74" s="29"/>
      <c r="C74" s="28"/>
      <c r="D74" s="28"/>
      <c r="E74" s="28"/>
      <c r="F74" s="28"/>
      <c r="G74" s="28"/>
      <c r="H74" s="29"/>
      <c r="I74" s="28"/>
      <c r="J74" s="28"/>
      <c r="K74" s="28"/>
      <c r="L74" s="28"/>
      <c r="M74" s="28"/>
      <c r="N74" s="28"/>
      <c r="O74" s="28"/>
      <c r="P74" s="28"/>
      <c r="Q74" s="28"/>
      <c r="R74" s="28"/>
      <c r="S74" s="28"/>
      <c r="T74" s="28"/>
      <c r="U74" s="28"/>
      <c r="V74" s="28"/>
      <c r="W74" s="28"/>
      <c r="X74" s="28"/>
      <c r="Y74" s="28"/>
      <c r="Z74" s="28"/>
      <c r="AA74" s="28"/>
    </row>
    <row r="75" ht="13.5" customHeight="1">
      <c r="A75" s="28"/>
      <c r="B75" s="29"/>
      <c r="C75" s="28"/>
      <c r="D75" s="28"/>
      <c r="E75" s="28"/>
      <c r="F75" s="28"/>
      <c r="G75" s="28"/>
      <c r="H75" s="29"/>
      <c r="I75" s="28"/>
      <c r="J75" s="28"/>
      <c r="K75" s="28"/>
      <c r="L75" s="28"/>
      <c r="M75" s="28"/>
      <c r="N75" s="28"/>
      <c r="O75" s="28"/>
      <c r="P75" s="28"/>
      <c r="Q75" s="28"/>
      <c r="R75" s="28"/>
      <c r="S75" s="28"/>
      <c r="T75" s="28"/>
      <c r="U75" s="28"/>
      <c r="V75" s="28"/>
      <c r="W75" s="28"/>
      <c r="X75" s="28"/>
      <c r="Y75" s="28"/>
      <c r="Z75" s="28"/>
      <c r="AA75" s="28"/>
    </row>
    <row r="76" ht="13.5" customHeight="1">
      <c r="A76" s="28"/>
      <c r="B76" s="29"/>
      <c r="C76" s="28"/>
      <c r="D76" s="28"/>
      <c r="E76" s="28"/>
      <c r="F76" s="28"/>
      <c r="G76" s="28"/>
      <c r="H76" s="29"/>
      <c r="I76" s="28"/>
      <c r="J76" s="28"/>
      <c r="K76" s="28"/>
      <c r="L76" s="28"/>
      <c r="M76" s="28"/>
      <c r="N76" s="28"/>
      <c r="O76" s="28"/>
      <c r="P76" s="28"/>
      <c r="Q76" s="28"/>
      <c r="R76" s="28"/>
      <c r="S76" s="28"/>
      <c r="T76" s="28"/>
      <c r="U76" s="28"/>
      <c r="V76" s="28"/>
      <c r="W76" s="28"/>
      <c r="X76" s="28"/>
      <c r="Y76" s="28"/>
      <c r="Z76" s="28"/>
      <c r="AA76" s="28"/>
    </row>
    <row r="77" ht="13.5" customHeight="1">
      <c r="A77" s="28"/>
      <c r="B77" s="29"/>
      <c r="C77" s="28"/>
      <c r="D77" s="28"/>
      <c r="E77" s="28"/>
      <c r="F77" s="28"/>
      <c r="G77" s="28"/>
      <c r="H77" s="29"/>
      <c r="I77" s="28"/>
      <c r="J77" s="28"/>
      <c r="K77" s="28"/>
      <c r="L77" s="28"/>
      <c r="M77" s="28"/>
      <c r="N77" s="28"/>
      <c r="O77" s="28"/>
      <c r="P77" s="28"/>
      <c r="Q77" s="28"/>
      <c r="R77" s="28"/>
      <c r="S77" s="28"/>
      <c r="T77" s="28"/>
      <c r="U77" s="28"/>
      <c r="V77" s="28"/>
      <c r="W77" s="28"/>
      <c r="X77" s="28"/>
      <c r="Y77" s="28"/>
      <c r="Z77" s="28"/>
      <c r="AA77" s="28"/>
    </row>
    <row r="78" ht="13.5" customHeight="1">
      <c r="A78" s="28"/>
      <c r="B78" s="29"/>
      <c r="C78" s="28"/>
      <c r="D78" s="28"/>
      <c r="E78" s="28"/>
      <c r="F78" s="28"/>
      <c r="G78" s="28"/>
      <c r="H78" s="29"/>
      <c r="I78" s="28"/>
      <c r="J78" s="28"/>
      <c r="K78" s="28"/>
      <c r="L78" s="28"/>
      <c r="M78" s="28"/>
      <c r="N78" s="28"/>
      <c r="O78" s="28"/>
      <c r="P78" s="28"/>
      <c r="Q78" s="28"/>
      <c r="R78" s="28"/>
      <c r="S78" s="28"/>
      <c r="T78" s="28"/>
      <c r="U78" s="28"/>
      <c r="V78" s="28"/>
      <c r="W78" s="28"/>
      <c r="X78" s="28"/>
      <c r="Y78" s="28"/>
      <c r="Z78" s="28"/>
      <c r="AA78" s="28"/>
    </row>
    <row r="79" ht="13.5" customHeight="1">
      <c r="A79" s="28"/>
      <c r="B79" s="29"/>
      <c r="C79" s="28"/>
      <c r="D79" s="28"/>
      <c r="E79" s="28"/>
      <c r="F79" s="28"/>
      <c r="G79" s="28"/>
      <c r="H79" s="29"/>
      <c r="I79" s="28"/>
      <c r="J79" s="28"/>
      <c r="K79" s="28"/>
      <c r="L79" s="28"/>
      <c r="M79" s="28"/>
      <c r="N79" s="28"/>
      <c r="O79" s="28"/>
      <c r="P79" s="28"/>
      <c r="Q79" s="28"/>
      <c r="R79" s="28"/>
      <c r="S79" s="28"/>
      <c r="T79" s="28"/>
      <c r="U79" s="28"/>
      <c r="V79" s="28"/>
      <c r="W79" s="28"/>
      <c r="X79" s="28"/>
      <c r="Y79" s="28"/>
      <c r="Z79" s="28"/>
      <c r="AA79" s="28"/>
    </row>
    <row r="80" ht="13.5" customHeight="1">
      <c r="A80" s="28"/>
      <c r="B80" s="29"/>
      <c r="C80" s="28"/>
      <c r="D80" s="28"/>
      <c r="E80" s="28"/>
      <c r="F80" s="28"/>
      <c r="G80" s="28"/>
      <c r="H80" s="29"/>
      <c r="I80" s="28"/>
      <c r="J80" s="28"/>
      <c r="K80" s="28"/>
      <c r="L80" s="28"/>
      <c r="M80" s="28"/>
      <c r="N80" s="28"/>
      <c r="O80" s="28"/>
      <c r="P80" s="28"/>
      <c r="Q80" s="28"/>
      <c r="R80" s="28"/>
      <c r="S80" s="28"/>
      <c r="T80" s="28"/>
      <c r="U80" s="28"/>
      <c r="V80" s="28"/>
      <c r="W80" s="28"/>
      <c r="X80" s="28"/>
      <c r="Y80" s="28"/>
      <c r="Z80" s="28"/>
      <c r="AA80" s="28"/>
    </row>
    <row r="81" ht="13.5" customHeight="1">
      <c r="A81" s="28"/>
      <c r="B81" s="29"/>
      <c r="C81" s="28"/>
      <c r="D81" s="28"/>
      <c r="E81" s="28"/>
      <c r="F81" s="28"/>
      <c r="G81" s="28"/>
      <c r="H81" s="29"/>
      <c r="I81" s="28"/>
      <c r="J81" s="28"/>
      <c r="K81" s="28"/>
      <c r="L81" s="28"/>
      <c r="M81" s="28"/>
      <c r="N81" s="28"/>
      <c r="O81" s="28"/>
      <c r="P81" s="28"/>
      <c r="Q81" s="28"/>
      <c r="R81" s="28"/>
      <c r="S81" s="28"/>
      <c r="T81" s="28"/>
      <c r="U81" s="28"/>
      <c r="V81" s="28"/>
      <c r="W81" s="28"/>
      <c r="X81" s="28"/>
      <c r="Y81" s="28"/>
      <c r="Z81" s="28"/>
      <c r="AA81" s="28"/>
    </row>
    <row r="82" ht="13.5" customHeight="1">
      <c r="A82" s="28"/>
      <c r="B82" s="29"/>
      <c r="C82" s="28"/>
      <c r="D82" s="28"/>
      <c r="E82" s="28"/>
      <c r="F82" s="28"/>
      <c r="G82" s="28"/>
      <c r="H82" s="29"/>
      <c r="I82" s="28"/>
      <c r="J82" s="28"/>
      <c r="K82" s="28"/>
      <c r="L82" s="28"/>
      <c r="M82" s="28"/>
      <c r="N82" s="28"/>
      <c r="O82" s="28"/>
      <c r="P82" s="28"/>
      <c r="Q82" s="28"/>
      <c r="R82" s="28"/>
      <c r="S82" s="28"/>
      <c r="T82" s="28"/>
      <c r="U82" s="28"/>
      <c r="V82" s="28"/>
      <c r="W82" s="28"/>
      <c r="X82" s="28"/>
      <c r="Y82" s="28"/>
      <c r="Z82" s="28"/>
      <c r="AA82" s="28"/>
    </row>
    <row r="83" ht="13.5" customHeight="1">
      <c r="A83" s="28"/>
      <c r="B83" s="29"/>
      <c r="C83" s="28"/>
      <c r="D83" s="28"/>
      <c r="E83" s="28"/>
      <c r="F83" s="28"/>
      <c r="G83" s="28"/>
      <c r="H83" s="29"/>
      <c r="I83" s="28"/>
      <c r="J83" s="28"/>
      <c r="K83" s="28"/>
      <c r="L83" s="28"/>
      <c r="M83" s="28"/>
      <c r="N83" s="28"/>
      <c r="O83" s="28"/>
      <c r="P83" s="28"/>
      <c r="Q83" s="28"/>
      <c r="R83" s="28"/>
      <c r="S83" s="28"/>
      <c r="T83" s="28"/>
      <c r="U83" s="28"/>
      <c r="V83" s="28"/>
      <c r="W83" s="28"/>
      <c r="X83" s="28"/>
      <c r="Y83" s="28"/>
      <c r="Z83" s="28"/>
      <c r="AA83" s="28"/>
    </row>
    <row r="84" ht="13.5" customHeight="1">
      <c r="A84" s="28"/>
      <c r="B84" s="29"/>
      <c r="C84" s="28"/>
      <c r="D84" s="28"/>
      <c r="E84" s="28"/>
      <c r="F84" s="28"/>
      <c r="G84" s="28"/>
      <c r="H84" s="29"/>
      <c r="I84" s="28"/>
      <c r="J84" s="28"/>
      <c r="K84" s="28"/>
      <c r="L84" s="28"/>
      <c r="M84" s="28"/>
      <c r="N84" s="28"/>
      <c r="O84" s="28"/>
      <c r="P84" s="28"/>
      <c r="Q84" s="28"/>
      <c r="R84" s="28"/>
      <c r="S84" s="28"/>
      <c r="T84" s="28"/>
      <c r="U84" s="28"/>
      <c r="V84" s="28"/>
      <c r="W84" s="28"/>
      <c r="X84" s="28"/>
      <c r="Y84" s="28"/>
      <c r="Z84" s="28"/>
      <c r="AA84" s="28"/>
    </row>
    <row r="85" ht="13.5" customHeight="1">
      <c r="A85" s="28"/>
      <c r="B85" s="29"/>
      <c r="C85" s="28"/>
      <c r="D85" s="28"/>
      <c r="E85" s="28"/>
      <c r="F85" s="28"/>
      <c r="G85" s="28"/>
      <c r="H85" s="29"/>
      <c r="I85" s="28"/>
      <c r="J85" s="28"/>
      <c r="K85" s="28"/>
      <c r="L85" s="28"/>
      <c r="M85" s="28"/>
      <c r="N85" s="28"/>
      <c r="O85" s="28"/>
      <c r="P85" s="28"/>
      <c r="Q85" s="28"/>
      <c r="R85" s="28"/>
      <c r="S85" s="28"/>
      <c r="T85" s="28"/>
      <c r="U85" s="28"/>
      <c r="V85" s="28"/>
      <c r="W85" s="28"/>
      <c r="X85" s="28"/>
      <c r="Y85" s="28"/>
      <c r="Z85" s="28"/>
      <c r="AA85" s="28"/>
    </row>
    <row r="86" ht="13.5" customHeight="1">
      <c r="A86" s="28"/>
      <c r="B86" s="29"/>
      <c r="C86" s="28"/>
      <c r="D86" s="28"/>
      <c r="E86" s="28"/>
      <c r="F86" s="28"/>
      <c r="G86" s="28"/>
      <c r="H86" s="29"/>
      <c r="I86" s="28"/>
      <c r="J86" s="28"/>
      <c r="K86" s="28"/>
      <c r="L86" s="28"/>
      <c r="M86" s="28"/>
      <c r="N86" s="28"/>
      <c r="O86" s="28"/>
      <c r="P86" s="28"/>
      <c r="Q86" s="28"/>
      <c r="R86" s="28"/>
      <c r="S86" s="28"/>
      <c r="T86" s="28"/>
      <c r="U86" s="28"/>
      <c r="V86" s="28"/>
      <c r="W86" s="28"/>
      <c r="X86" s="28"/>
      <c r="Y86" s="28"/>
      <c r="Z86" s="28"/>
      <c r="AA86" s="28"/>
    </row>
    <row r="87" ht="13.5" customHeight="1">
      <c r="A87" s="28"/>
      <c r="B87" s="29"/>
      <c r="C87" s="28"/>
      <c r="D87" s="28"/>
      <c r="E87" s="28"/>
      <c r="F87" s="28"/>
      <c r="G87" s="28"/>
      <c r="H87" s="29"/>
      <c r="I87" s="28"/>
      <c r="J87" s="28"/>
      <c r="K87" s="28"/>
      <c r="L87" s="28"/>
      <c r="M87" s="28"/>
      <c r="N87" s="28"/>
      <c r="O87" s="28"/>
      <c r="P87" s="28"/>
      <c r="Q87" s="28"/>
      <c r="R87" s="28"/>
      <c r="S87" s="28"/>
      <c r="T87" s="28"/>
      <c r="U87" s="28"/>
      <c r="V87" s="28"/>
      <c r="W87" s="28"/>
      <c r="X87" s="28"/>
      <c r="Y87" s="28"/>
      <c r="Z87" s="28"/>
      <c r="AA87" s="28"/>
    </row>
    <row r="88" ht="13.5" customHeight="1">
      <c r="A88" s="28"/>
      <c r="B88" s="29"/>
      <c r="C88" s="28"/>
      <c r="D88" s="28"/>
      <c r="E88" s="28"/>
      <c r="F88" s="28"/>
      <c r="G88" s="28"/>
      <c r="H88" s="29"/>
      <c r="I88" s="28"/>
      <c r="J88" s="28"/>
      <c r="K88" s="28"/>
      <c r="L88" s="28"/>
      <c r="M88" s="28"/>
      <c r="N88" s="28"/>
      <c r="O88" s="28"/>
      <c r="P88" s="28"/>
      <c r="Q88" s="28"/>
      <c r="R88" s="28"/>
      <c r="S88" s="28"/>
      <c r="T88" s="28"/>
      <c r="U88" s="28"/>
      <c r="V88" s="28"/>
      <c r="W88" s="28"/>
      <c r="X88" s="28"/>
      <c r="Y88" s="28"/>
      <c r="Z88" s="28"/>
      <c r="AA88" s="28"/>
    </row>
    <row r="89" ht="13.5" customHeight="1">
      <c r="A89" s="28"/>
      <c r="B89" s="29"/>
      <c r="C89" s="28"/>
      <c r="D89" s="28"/>
      <c r="E89" s="28"/>
      <c r="F89" s="28"/>
      <c r="G89" s="28"/>
      <c r="H89" s="29"/>
      <c r="I89" s="28"/>
      <c r="J89" s="28"/>
      <c r="K89" s="28"/>
      <c r="L89" s="28"/>
      <c r="M89" s="28"/>
      <c r="N89" s="28"/>
      <c r="O89" s="28"/>
      <c r="P89" s="28"/>
      <c r="Q89" s="28"/>
      <c r="R89" s="28"/>
      <c r="S89" s="28"/>
      <c r="T89" s="28"/>
      <c r="U89" s="28"/>
      <c r="V89" s="28"/>
      <c r="W89" s="28"/>
      <c r="X89" s="28"/>
      <c r="Y89" s="28"/>
      <c r="Z89" s="28"/>
      <c r="AA89" s="28"/>
    </row>
    <row r="90" ht="13.5" customHeight="1">
      <c r="A90" s="28"/>
      <c r="B90" s="29"/>
      <c r="C90" s="28"/>
      <c r="D90" s="28"/>
      <c r="E90" s="28"/>
      <c r="F90" s="28"/>
      <c r="G90" s="28"/>
      <c r="H90" s="29"/>
      <c r="I90" s="28"/>
      <c r="J90" s="28"/>
      <c r="K90" s="28"/>
      <c r="L90" s="28"/>
      <c r="M90" s="28"/>
      <c r="N90" s="28"/>
      <c r="O90" s="28"/>
      <c r="P90" s="28"/>
      <c r="Q90" s="28"/>
      <c r="R90" s="28"/>
      <c r="S90" s="28"/>
      <c r="T90" s="28"/>
      <c r="U90" s="28"/>
      <c r="V90" s="28"/>
      <c r="W90" s="28"/>
      <c r="X90" s="28"/>
      <c r="Y90" s="28"/>
      <c r="Z90" s="28"/>
      <c r="AA90" s="28"/>
    </row>
    <row r="91" ht="13.5" customHeight="1">
      <c r="A91" s="28"/>
      <c r="B91" s="29"/>
      <c r="C91" s="28"/>
      <c r="D91" s="28"/>
      <c r="E91" s="28"/>
      <c r="F91" s="28"/>
      <c r="G91" s="28"/>
      <c r="H91" s="29"/>
      <c r="I91" s="28"/>
      <c r="J91" s="28"/>
      <c r="K91" s="28"/>
      <c r="L91" s="28"/>
      <c r="M91" s="28"/>
      <c r="N91" s="28"/>
      <c r="O91" s="28"/>
      <c r="P91" s="28"/>
      <c r="Q91" s="28"/>
      <c r="R91" s="28"/>
      <c r="S91" s="28"/>
      <c r="T91" s="28"/>
      <c r="U91" s="28"/>
      <c r="V91" s="28"/>
      <c r="W91" s="28"/>
      <c r="X91" s="28"/>
      <c r="Y91" s="28"/>
      <c r="Z91" s="28"/>
      <c r="AA91" s="28"/>
    </row>
    <row r="92" ht="13.5" customHeight="1">
      <c r="A92" s="28"/>
      <c r="B92" s="29"/>
      <c r="C92" s="28"/>
      <c r="D92" s="28"/>
      <c r="E92" s="28"/>
      <c r="F92" s="28"/>
      <c r="G92" s="28"/>
      <c r="H92" s="29"/>
      <c r="I92" s="28"/>
      <c r="J92" s="28"/>
      <c r="K92" s="28"/>
      <c r="L92" s="28"/>
      <c r="M92" s="28"/>
      <c r="N92" s="28"/>
      <c r="O92" s="28"/>
      <c r="P92" s="28"/>
      <c r="Q92" s="28"/>
      <c r="R92" s="28"/>
      <c r="S92" s="28"/>
      <c r="T92" s="28"/>
      <c r="U92" s="28"/>
      <c r="V92" s="28"/>
      <c r="W92" s="28"/>
      <c r="X92" s="28"/>
      <c r="Y92" s="28"/>
      <c r="Z92" s="28"/>
      <c r="AA92" s="28"/>
    </row>
    <row r="93" ht="13.5" customHeight="1">
      <c r="A93" s="28"/>
      <c r="B93" s="29"/>
      <c r="C93" s="28"/>
      <c r="D93" s="28"/>
      <c r="E93" s="28"/>
      <c r="F93" s="28"/>
      <c r="G93" s="28"/>
      <c r="H93" s="29"/>
      <c r="I93" s="28"/>
      <c r="J93" s="28"/>
      <c r="K93" s="28"/>
      <c r="L93" s="28"/>
      <c r="M93" s="28"/>
      <c r="N93" s="28"/>
      <c r="O93" s="28"/>
      <c r="P93" s="28"/>
      <c r="Q93" s="28"/>
      <c r="R93" s="28"/>
      <c r="S93" s="28"/>
      <c r="T93" s="28"/>
      <c r="U93" s="28"/>
      <c r="V93" s="28"/>
      <c r="W93" s="28"/>
      <c r="X93" s="28"/>
      <c r="Y93" s="28"/>
      <c r="Z93" s="28"/>
      <c r="AA93" s="28"/>
    </row>
    <row r="94" ht="13.5" customHeight="1">
      <c r="A94" s="28"/>
      <c r="B94" s="29"/>
      <c r="C94" s="28"/>
      <c r="D94" s="28"/>
      <c r="E94" s="28"/>
      <c r="F94" s="28"/>
      <c r="G94" s="28"/>
      <c r="H94" s="29"/>
      <c r="I94" s="28"/>
      <c r="J94" s="28"/>
      <c r="K94" s="28"/>
      <c r="L94" s="28"/>
      <c r="M94" s="28"/>
      <c r="N94" s="28"/>
      <c r="O94" s="28"/>
      <c r="P94" s="28"/>
      <c r="Q94" s="28"/>
      <c r="R94" s="28"/>
      <c r="S94" s="28"/>
      <c r="T94" s="28"/>
      <c r="U94" s="28"/>
      <c r="V94" s="28"/>
      <c r="W94" s="28"/>
      <c r="X94" s="28"/>
      <c r="Y94" s="28"/>
      <c r="Z94" s="28"/>
      <c r="AA94" s="28"/>
    </row>
    <row r="95" ht="13.5" customHeight="1">
      <c r="A95" s="28"/>
      <c r="B95" s="29"/>
      <c r="C95" s="28"/>
      <c r="D95" s="28"/>
      <c r="E95" s="28"/>
      <c r="F95" s="28"/>
      <c r="G95" s="28"/>
      <c r="H95" s="29"/>
      <c r="I95" s="28"/>
      <c r="J95" s="28"/>
      <c r="K95" s="28"/>
      <c r="L95" s="28"/>
      <c r="M95" s="28"/>
      <c r="N95" s="28"/>
      <c r="O95" s="28"/>
      <c r="P95" s="28"/>
      <c r="Q95" s="28"/>
      <c r="R95" s="28"/>
      <c r="S95" s="28"/>
      <c r="T95" s="28"/>
      <c r="U95" s="28"/>
      <c r="V95" s="28"/>
      <c r="W95" s="28"/>
      <c r="X95" s="28"/>
      <c r="Y95" s="28"/>
      <c r="Z95" s="28"/>
      <c r="AA95" s="28"/>
    </row>
    <row r="96" ht="13.5" customHeight="1">
      <c r="A96" s="28"/>
      <c r="B96" s="29"/>
      <c r="C96" s="28"/>
      <c r="D96" s="28"/>
      <c r="E96" s="28"/>
      <c r="F96" s="28"/>
      <c r="G96" s="28"/>
      <c r="H96" s="29"/>
      <c r="I96" s="28"/>
      <c r="J96" s="28"/>
      <c r="K96" s="28"/>
      <c r="L96" s="28"/>
      <c r="M96" s="28"/>
      <c r="N96" s="28"/>
      <c r="O96" s="28"/>
      <c r="P96" s="28"/>
      <c r="Q96" s="28"/>
      <c r="R96" s="28"/>
      <c r="S96" s="28"/>
      <c r="T96" s="28"/>
      <c r="U96" s="28"/>
      <c r="V96" s="28"/>
      <c r="W96" s="28"/>
      <c r="X96" s="28"/>
      <c r="Y96" s="28"/>
      <c r="Z96" s="28"/>
      <c r="AA96" s="28"/>
    </row>
    <row r="97" ht="13.5" customHeight="1">
      <c r="A97" s="28"/>
      <c r="B97" s="29"/>
      <c r="C97" s="28"/>
      <c r="D97" s="28"/>
      <c r="E97" s="28"/>
      <c r="F97" s="28"/>
      <c r="G97" s="28"/>
      <c r="H97" s="29"/>
      <c r="I97" s="28"/>
      <c r="J97" s="28"/>
      <c r="K97" s="28"/>
      <c r="L97" s="28"/>
      <c r="M97" s="28"/>
      <c r="N97" s="28"/>
      <c r="O97" s="28"/>
      <c r="P97" s="28"/>
      <c r="Q97" s="28"/>
      <c r="R97" s="28"/>
      <c r="S97" s="28"/>
      <c r="T97" s="28"/>
      <c r="U97" s="28"/>
      <c r="V97" s="28"/>
      <c r="W97" s="28"/>
      <c r="X97" s="28"/>
      <c r="Y97" s="28"/>
      <c r="Z97" s="28"/>
      <c r="AA97" s="28"/>
    </row>
    <row r="98" ht="13.5" customHeight="1">
      <c r="A98" s="28"/>
      <c r="B98" s="29"/>
      <c r="C98" s="28"/>
      <c r="D98" s="28"/>
      <c r="E98" s="28"/>
      <c r="F98" s="28"/>
      <c r="G98" s="28"/>
      <c r="H98" s="29"/>
      <c r="I98" s="28"/>
      <c r="J98" s="28"/>
      <c r="K98" s="28"/>
      <c r="L98" s="28"/>
      <c r="M98" s="28"/>
      <c r="N98" s="28"/>
      <c r="O98" s="28"/>
      <c r="P98" s="28"/>
      <c r="Q98" s="28"/>
      <c r="R98" s="28"/>
      <c r="S98" s="28"/>
      <c r="T98" s="28"/>
      <c r="U98" s="28"/>
      <c r="V98" s="28"/>
      <c r="W98" s="28"/>
      <c r="X98" s="28"/>
      <c r="Y98" s="28"/>
      <c r="Z98" s="28"/>
      <c r="AA98" s="28"/>
    </row>
    <row r="99" ht="13.5" customHeight="1">
      <c r="A99" s="28"/>
      <c r="B99" s="29"/>
      <c r="C99" s="28"/>
      <c r="D99" s="28"/>
      <c r="E99" s="28"/>
      <c r="F99" s="28"/>
      <c r="G99" s="28"/>
      <c r="H99" s="29"/>
      <c r="I99" s="28"/>
      <c r="J99" s="28"/>
      <c r="K99" s="28"/>
      <c r="L99" s="28"/>
      <c r="M99" s="28"/>
      <c r="N99" s="28"/>
      <c r="O99" s="28"/>
      <c r="P99" s="28"/>
      <c r="Q99" s="28"/>
      <c r="R99" s="28"/>
      <c r="S99" s="28"/>
      <c r="T99" s="28"/>
      <c r="U99" s="28"/>
      <c r="V99" s="28"/>
      <c r="W99" s="28"/>
      <c r="X99" s="28"/>
      <c r="Y99" s="28"/>
      <c r="Z99" s="28"/>
      <c r="AA99" s="28"/>
    </row>
    <row r="100" ht="13.5" customHeight="1">
      <c r="A100" s="28"/>
      <c r="B100" s="29"/>
      <c r="C100" s="28"/>
      <c r="D100" s="28"/>
      <c r="E100" s="28"/>
      <c r="F100" s="28"/>
      <c r="G100" s="28"/>
      <c r="H100" s="29"/>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9"/>
      <c r="C101" s="28"/>
      <c r="D101" s="28"/>
      <c r="E101" s="28"/>
      <c r="F101" s="28"/>
      <c r="G101" s="28"/>
      <c r="H101" s="29"/>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9"/>
      <c r="C102" s="28"/>
      <c r="D102" s="28"/>
      <c r="E102" s="28"/>
      <c r="F102" s="28"/>
      <c r="G102" s="28"/>
      <c r="H102" s="29"/>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9"/>
      <c r="C103" s="28"/>
      <c r="D103" s="28"/>
      <c r="E103" s="28"/>
      <c r="F103" s="28"/>
      <c r="G103" s="28"/>
      <c r="H103" s="29"/>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9"/>
      <c r="C104" s="28"/>
      <c r="D104" s="28"/>
      <c r="E104" s="28"/>
      <c r="F104" s="28"/>
      <c r="G104" s="28"/>
      <c r="H104" s="29"/>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9"/>
      <c r="C105" s="28"/>
      <c r="D105" s="28"/>
      <c r="E105" s="28"/>
      <c r="F105" s="28"/>
      <c r="G105" s="28"/>
      <c r="H105" s="29"/>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9"/>
      <c r="C106" s="28"/>
      <c r="D106" s="28"/>
      <c r="E106" s="28"/>
      <c r="F106" s="28"/>
      <c r="G106" s="28"/>
      <c r="H106" s="29"/>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9"/>
      <c r="C107" s="28"/>
      <c r="D107" s="28"/>
      <c r="E107" s="28"/>
      <c r="F107" s="28"/>
      <c r="G107" s="28"/>
      <c r="H107" s="29"/>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9"/>
      <c r="C108" s="28"/>
      <c r="D108" s="28"/>
      <c r="E108" s="28"/>
      <c r="F108" s="28"/>
      <c r="G108" s="28"/>
      <c r="H108" s="29"/>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9"/>
      <c r="C109" s="28"/>
      <c r="D109" s="28"/>
      <c r="E109" s="28"/>
      <c r="F109" s="28"/>
      <c r="G109" s="28"/>
      <c r="H109" s="29"/>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9"/>
      <c r="C110" s="28"/>
      <c r="D110" s="28"/>
      <c r="E110" s="28"/>
      <c r="F110" s="28"/>
      <c r="G110" s="28"/>
      <c r="H110" s="29"/>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9"/>
      <c r="C111" s="28"/>
      <c r="D111" s="28"/>
      <c r="E111" s="28"/>
      <c r="F111" s="28"/>
      <c r="G111" s="28"/>
      <c r="H111" s="29"/>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9"/>
      <c r="C112" s="28"/>
      <c r="D112" s="28"/>
      <c r="E112" s="28"/>
      <c r="F112" s="28"/>
      <c r="G112" s="28"/>
      <c r="H112" s="29"/>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9"/>
      <c r="C113" s="28"/>
      <c r="D113" s="28"/>
      <c r="E113" s="28"/>
      <c r="F113" s="28"/>
      <c r="G113" s="28"/>
      <c r="H113" s="29"/>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9"/>
      <c r="C114" s="28"/>
      <c r="D114" s="28"/>
      <c r="E114" s="28"/>
      <c r="F114" s="28"/>
      <c r="G114" s="28"/>
      <c r="H114" s="29"/>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9"/>
      <c r="C115" s="28"/>
      <c r="D115" s="28"/>
      <c r="E115" s="28"/>
      <c r="F115" s="28"/>
      <c r="G115" s="28"/>
      <c r="H115" s="29"/>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9"/>
      <c r="C116" s="28"/>
      <c r="D116" s="28"/>
      <c r="E116" s="28"/>
      <c r="F116" s="28"/>
      <c r="G116" s="28"/>
      <c r="H116" s="29"/>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9"/>
      <c r="C117" s="28"/>
      <c r="D117" s="28"/>
      <c r="E117" s="28"/>
      <c r="F117" s="28"/>
      <c r="G117" s="28"/>
      <c r="H117" s="29"/>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9"/>
      <c r="C118" s="28"/>
      <c r="D118" s="28"/>
      <c r="E118" s="28"/>
      <c r="F118" s="28"/>
      <c r="G118" s="28"/>
      <c r="H118" s="29"/>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9"/>
      <c r="C119" s="28"/>
      <c r="D119" s="28"/>
      <c r="E119" s="28"/>
      <c r="F119" s="28"/>
      <c r="G119" s="28"/>
      <c r="H119" s="29"/>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9"/>
      <c r="C120" s="28"/>
      <c r="D120" s="28"/>
      <c r="E120" s="28"/>
      <c r="F120" s="28"/>
      <c r="G120" s="28"/>
      <c r="H120" s="29"/>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9"/>
      <c r="C121" s="28"/>
      <c r="D121" s="28"/>
      <c r="E121" s="28"/>
      <c r="F121" s="28"/>
      <c r="G121" s="28"/>
      <c r="H121" s="29"/>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9"/>
      <c r="C122" s="28"/>
      <c r="D122" s="28"/>
      <c r="E122" s="28"/>
      <c r="F122" s="28"/>
      <c r="G122" s="28"/>
      <c r="H122" s="29"/>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9"/>
      <c r="C123" s="28"/>
      <c r="D123" s="28"/>
      <c r="E123" s="28"/>
      <c r="F123" s="28"/>
      <c r="G123" s="28"/>
      <c r="H123" s="29"/>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9"/>
      <c r="C124" s="28"/>
      <c r="D124" s="28"/>
      <c r="E124" s="28"/>
      <c r="F124" s="28"/>
      <c r="G124" s="28"/>
      <c r="H124" s="29"/>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9"/>
      <c r="C125" s="28"/>
      <c r="D125" s="28"/>
      <c r="E125" s="28"/>
      <c r="F125" s="28"/>
      <c r="G125" s="28"/>
      <c r="H125" s="29"/>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9"/>
      <c r="C126" s="28"/>
      <c r="D126" s="28"/>
      <c r="E126" s="28"/>
      <c r="F126" s="28"/>
      <c r="G126" s="28"/>
      <c r="H126" s="29"/>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9"/>
      <c r="C127" s="28"/>
      <c r="D127" s="28"/>
      <c r="E127" s="28"/>
      <c r="F127" s="28"/>
      <c r="G127" s="28"/>
      <c r="H127" s="29"/>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9"/>
      <c r="C128" s="28"/>
      <c r="D128" s="28"/>
      <c r="E128" s="28"/>
      <c r="F128" s="28"/>
      <c r="G128" s="28"/>
      <c r="H128" s="29"/>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9"/>
      <c r="C129" s="28"/>
      <c r="D129" s="28"/>
      <c r="E129" s="28"/>
      <c r="F129" s="28"/>
      <c r="G129" s="28"/>
      <c r="H129" s="29"/>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9"/>
      <c r="C130" s="28"/>
      <c r="D130" s="28"/>
      <c r="E130" s="28"/>
      <c r="F130" s="28"/>
      <c r="G130" s="28"/>
      <c r="H130" s="29"/>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9"/>
      <c r="C131" s="28"/>
      <c r="D131" s="28"/>
      <c r="E131" s="28"/>
      <c r="F131" s="28"/>
      <c r="G131" s="28"/>
      <c r="H131" s="29"/>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9"/>
      <c r="C132" s="28"/>
      <c r="D132" s="28"/>
      <c r="E132" s="28"/>
      <c r="F132" s="28"/>
      <c r="G132" s="28"/>
      <c r="H132" s="29"/>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9"/>
      <c r="C133" s="28"/>
      <c r="D133" s="28"/>
      <c r="E133" s="28"/>
      <c r="F133" s="28"/>
      <c r="G133" s="28"/>
      <c r="H133" s="29"/>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9"/>
      <c r="C134" s="28"/>
      <c r="D134" s="28"/>
      <c r="E134" s="28"/>
      <c r="F134" s="28"/>
      <c r="G134" s="28"/>
      <c r="H134" s="29"/>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9"/>
      <c r="C135" s="28"/>
      <c r="D135" s="28"/>
      <c r="E135" s="28"/>
      <c r="F135" s="28"/>
      <c r="G135" s="28"/>
      <c r="H135" s="29"/>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9"/>
      <c r="C136" s="28"/>
      <c r="D136" s="28"/>
      <c r="E136" s="28"/>
      <c r="F136" s="28"/>
      <c r="G136" s="28"/>
      <c r="H136" s="29"/>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9"/>
      <c r="C137" s="28"/>
      <c r="D137" s="28"/>
      <c r="E137" s="28"/>
      <c r="F137" s="28"/>
      <c r="G137" s="28"/>
      <c r="H137" s="29"/>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9"/>
      <c r="C138" s="28"/>
      <c r="D138" s="28"/>
      <c r="E138" s="28"/>
      <c r="F138" s="28"/>
      <c r="G138" s="28"/>
      <c r="H138" s="29"/>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9"/>
      <c r="C139" s="28"/>
      <c r="D139" s="28"/>
      <c r="E139" s="28"/>
      <c r="F139" s="28"/>
      <c r="G139" s="28"/>
      <c r="H139" s="29"/>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9"/>
      <c r="C140" s="28"/>
      <c r="D140" s="28"/>
      <c r="E140" s="28"/>
      <c r="F140" s="28"/>
      <c r="G140" s="28"/>
      <c r="H140" s="29"/>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9"/>
      <c r="C141" s="28"/>
      <c r="D141" s="28"/>
      <c r="E141" s="28"/>
      <c r="F141" s="28"/>
      <c r="G141" s="28"/>
      <c r="H141" s="29"/>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9"/>
      <c r="C142" s="28"/>
      <c r="D142" s="28"/>
      <c r="E142" s="28"/>
      <c r="F142" s="28"/>
      <c r="G142" s="28"/>
      <c r="H142" s="29"/>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9"/>
      <c r="C143" s="28"/>
      <c r="D143" s="28"/>
      <c r="E143" s="28"/>
      <c r="F143" s="28"/>
      <c r="G143" s="28"/>
      <c r="H143" s="29"/>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9"/>
      <c r="C144" s="28"/>
      <c r="D144" s="28"/>
      <c r="E144" s="28"/>
      <c r="F144" s="28"/>
      <c r="G144" s="28"/>
      <c r="H144" s="29"/>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9"/>
      <c r="C145" s="28"/>
      <c r="D145" s="28"/>
      <c r="E145" s="28"/>
      <c r="F145" s="28"/>
      <c r="G145" s="28"/>
      <c r="H145" s="29"/>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9"/>
      <c r="C146" s="28"/>
      <c r="D146" s="28"/>
      <c r="E146" s="28"/>
      <c r="F146" s="28"/>
      <c r="G146" s="28"/>
      <c r="H146" s="29"/>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9"/>
      <c r="C147" s="28"/>
      <c r="D147" s="28"/>
      <c r="E147" s="28"/>
      <c r="F147" s="28"/>
      <c r="G147" s="28"/>
      <c r="H147" s="29"/>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9"/>
      <c r="C148" s="28"/>
      <c r="D148" s="28"/>
      <c r="E148" s="28"/>
      <c r="F148" s="28"/>
      <c r="G148" s="28"/>
      <c r="H148" s="29"/>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9"/>
      <c r="C149" s="28"/>
      <c r="D149" s="28"/>
      <c r="E149" s="28"/>
      <c r="F149" s="28"/>
      <c r="G149" s="28"/>
      <c r="H149" s="29"/>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9"/>
      <c r="C150" s="28"/>
      <c r="D150" s="28"/>
      <c r="E150" s="28"/>
      <c r="F150" s="28"/>
      <c r="G150" s="28"/>
      <c r="H150" s="29"/>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9"/>
      <c r="C151" s="28"/>
      <c r="D151" s="28"/>
      <c r="E151" s="28"/>
      <c r="F151" s="28"/>
      <c r="G151" s="28"/>
      <c r="H151" s="29"/>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9"/>
      <c r="C152" s="28"/>
      <c r="D152" s="28"/>
      <c r="E152" s="28"/>
      <c r="F152" s="28"/>
      <c r="G152" s="28"/>
      <c r="H152" s="29"/>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9"/>
      <c r="C153" s="28"/>
      <c r="D153" s="28"/>
      <c r="E153" s="28"/>
      <c r="F153" s="28"/>
      <c r="G153" s="28"/>
      <c r="H153" s="29"/>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9"/>
      <c r="C154" s="28"/>
      <c r="D154" s="28"/>
      <c r="E154" s="28"/>
      <c r="F154" s="28"/>
      <c r="G154" s="28"/>
      <c r="H154" s="29"/>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9"/>
      <c r="C155" s="28"/>
      <c r="D155" s="28"/>
      <c r="E155" s="28"/>
      <c r="F155" s="28"/>
      <c r="G155" s="28"/>
      <c r="H155" s="29"/>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9"/>
      <c r="C156" s="28"/>
      <c r="D156" s="28"/>
      <c r="E156" s="28"/>
      <c r="F156" s="28"/>
      <c r="G156" s="28"/>
      <c r="H156" s="29"/>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9"/>
      <c r="C157" s="28"/>
      <c r="D157" s="28"/>
      <c r="E157" s="28"/>
      <c r="F157" s="28"/>
      <c r="G157" s="28"/>
      <c r="H157" s="29"/>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9"/>
      <c r="C158" s="28"/>
      <c r="D158" s="28"/>
      <c r="E158" s="28"/>
      <c r="F158" s="28"/>
      <c r="G158" s="28"/>
      <c r="H158" s="29"/>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9"/>
      <c r="C159" s="28"/>
      <c r="D159" s="28"/>
      <c r="E159" s="28"/>
      <c r="F159" s="28"/>
      <c r="G159" s="28"/>
      <c r="H159" s="29"/>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9"/>
      <c r="C160" s="28"/>
      <c r="D160" s="28"/>
      <c r="E160" s="28"/>
      <c r="F160" s="28"/>
      <c r="G160" s="28"/>
      <c r="H160" s="29"/>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9"/>
      <c r="C161" s="28"/>
      <c r="D161" s="28"/>
      <c r="E161" s="28"/>
      <c r="F161" s="28"/>
      <c r="G161" s="28"/>
      <c r="H161" s="29"/>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9"/>
      <c r="C162" s="28"/>
      <c r="D162" s="28"/>
      <c r="E162" s="28"/>
      <c r="F162" s="28"/>
      <c r="G162" s="28"/>
      <c r="H162" s="29"/>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9"/>
      <c r="C163" s="28"/>
      <c r="D163" s="28"/>
      <c r="E163" s="28"/>
      <c r="F163" s="28"/>
      <c r="G163" s="28"/>
      <c r="H163" s="29"/>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9"/>
      <c r="C164" s="28"/>
      <c r="D164" s="28"/>
      <c r="E164" s="28"/>
      <c r="F164" s="28"/>
      <c r="G164" s="28"/>
      <c r="H164" s="29"/>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9"/>
      <c r="C165" s="28"/>
      <c r="D165" s="28"/>
      <c r="E165" s="28"/>
      <c r="F165" s="28"/>
      <c r="G165" s="28"/>
      <c r="H165" s="29"/>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9"/>
      <c r="C166" s="28"/>
      <c r="D166" s="28"/>
      <c r="E166" s="28"/>
      <c r="F166" s="28"/>
      <c r="G166" s="28"/>
      <c r="H166" s="29"/>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9"/>
      <c r="C167" s="28"/>
      <c r="D167" s="28"/>
      <c r="E167" s="28"/>
      <c r="F167" s="28"/>
      <c r="G167" s="28"/>
      <c r="H167" s="29"/>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9"/>
      <c r="C168" s="28"/>
      <c r="D168" s="28"/>
      <c r="E168" s="28"/>
      <c r="F168" s="28"/>
      <c r="G168" s="28"/>
      <c r="H168" s="29"/>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9"/>
      <c r="C169" s="28"/>
      <c r="D169" s="28"/>
      <c r="E169" s="28"/>
      <c r="F169" s="28"/>
      <c r="G169" s="28"/>
      <c r="H169" s="29"/>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9"/>
      <c r="C170" s="28"/>
      <c r="D170" s="28"/>
      <c r="E170" s="28"/>
      <c r="F170" s="28"/>
      <c r="G170" s="28"/>
      <c r="H170" s="29"/>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9"/>
      <c r="C171" s="28"/>
      <c r="D171" s="28"/>
      <c r="E171" s="28"/>
      <c r="F171" s="28"/>
      <c r="G171" s="28"/>
      <c r="H171" s="29"/>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9"/>
      <c r="C172" s="28"/>
      <c r="D172" s="28"/>
      <c r="E172" s="28"/>
      <c r="F172" s="28"/>
      <c r="G172" s="28"/>
      <c r="H172" s="29"/>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9"/>
      <c r="C173" s="28"/>
      <c r="D173" s="28"/>
      <c r="E173" s="28"/>
      <c r="F173" s="28"/>
      <c r="G173" s="28"/>
      <c r="H173" s="29"/>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9"/>
      <c r="C174" s="28"/>
      <c r="D174" s="28"/>
      <c r="E174" s="28"/>
      <c r="F174" s="28"/>
      <c r="G174" s="28"/>
      <c r="H174" s="29"/>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9"/>
      <c r="C175" s="28"/>
      <c r="D175" s="28"/>
      <c r="E175" s="28"/>
      <c r="F175" s="28"/>
      <c r="G175" s="28"/>
      <c r="H175" s="29"/>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9"/>
      <c r="C176" s="28"/>
      <c r="D176" s="28"/>
      <c r="E176" s="28"/>
      <c r="F176" s="28"/>
      <c r="G176" s="28"/>
      <c r="H176" s="29"/>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9"/>
      <c r="C177" s="28"/>
      <c r="D177" s="28"/>
      <c r="E177" s="28"/>
      <c r="F177" s="28"/>
      <c r="G177" s="28"/>
      <c r="H177" s="29"/>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9"/>
      <c r="C178" s="28"/>
      <c r="D178" s="28"/>
      <c r="E178" s="28"/>
      <c r="F178" s="28"/>
      <c r="G178" s="28"/>
      <c r="H178" s="29"/>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9"/>
      <c r="C179" s="28"/>
      <c r="D179" s="28"/>
      <c r="E179" s="28"/>
      <c r="F179" s="28"/>
      <c r="G179" s="28"/>
      <c r="H179" s="29"/>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9"/>
      <c r="C180" s="28"/>
      <c r="D180" s="28"/>
      <c r="E180" s="28"/>
      <c r="F180" s="28"/>
      <c r="G180" s="28"/>
      <c r="H180" s="29"/>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9"/>
      <c r="C181" s="28"/>
      <c r="D181" s="28"/>
      <c r="E181" s="28"/>
      <c r="F181" s="28"/>
      <c r="G181" s="28"/>
      <c r="H181" s="29"/>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9"/>
      <c r="C182" s="28"/>
      <c r="D182" s="28"/>
      <c r="E182" s="28"/>
      <c r="F182" s="28"/>
      <c r="G182" s="28"/>
      <c r="H182" s="29"/>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9"/>
      <c r="C183" s="28"/>
      <c r="D183" s="28"/>
      <c r="E183" s="28"/>
      <c r="F183" s="28"/>
      <c r="G183" s="28"/>
      <c r="H183" s="29"/>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9"/>
      <c r="C184" s="28"/>
      <c r="D184" s="28"/>
      <c r="E184" s="28"/>
      <c r="F184" s="28"/>
      <c r="G184" s="28"/>
      <c r="H184" s="29"/>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9"/>
      <c r="C185" s="28"/>
      <c r="D185" s="28"/>
      <c r="E185" s="28"/>
      <c r="F185" s="28"/>
      <c r="G185" s="28"/>
      <c r="H185" s="29"/>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9"/>
      <c r="C186" s="28"/>
      <c r="D186" s="28"/>
      <c r="E186" s="28"/>
      <c r="F186" s="28"/>
      <c r="G186" s="28"/>
      <c r="H186" s="29"/>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9"/>
      <c r="C187" s="28"/>
      <c r="D187" s="28"/>
      <c r="E187" s="28"/>
      <c r="F187" s="28"/>
      <c r="G187" s="28"/>
      <c r="H187" s="29"/>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9"/>
      <c r="C188" s="28"/>
      <c r="D188" s="28"/>
      <c r="E188" s="28"/>
      <c r="F188" s="28"/>
      <c r="G188" s="28"/>
      <c r="H188" s="29"/>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9"/>
      <c r="C189" s="28"/>
      <c r="D189" s="28"/>
      <c r="E189" s="28"/>
      <c r="F189" s="28"/>
      <c r="G189" s="28"/>
      <c r="H189" s="29"/>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9"/>
      <c r="C190" s="28"/>
      <c r="D190" s="28"/>
      <c r="E190" s="28"/>
      <c r="F190" s="28"/>
      <c r="G190" s="28"/>
      <c r="H190" s="29"/>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9"/>
      <c r="C191" s="28"/>
      <c r="D191" s="28"/>
      <c r="E191" s="28"/>
      <c r="F191" s="28"/>
      <c r="G191" s="28"/>
      <c r="H191" s="29"/>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9"/>
      <c r="C192" s="28"/>
      <c r="D192" s="28"/>
      <c r="E192" s="28"/>
      <c r="F192" s="28"/>
      <c r="G192" s="28"/>
      <c r="H192" s="29"/>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9"/>
      <c r="C193" s="28"/>
      <c r="D193" s="28"/>
      <c r="E193" s="28"/>
      <c r="F193" s="28"/>
      <c r="G193" s="28"/>
      <c r="H193" s="29"/>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9"/>
      <c r="C194" s="28"/>
      <c r="D194" s="28"/>
      <c r="E194" s="28"/>
      <c r="F194" s="28"/>
      <c r="G194" s="28"/>
      <c r="H194" s="29"/>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9"/>
      <c r="C195" s="28"/>
      <c r="D195" s="28"/>
      <c r="E195" s="28"/>
      <c r="F195" s="28"/>
      <c r="G195" s="28"/>
      <c r="H195" s="29"/>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9"/>
      <c r="C196" s="28"/>
      <c r="D196" s="28"/>
      <c r="E196" s="28"/>
      <c r="F196" s="28"/>
      <c r="G196" s="28"/>
      <c r="H196" s="29"/>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9"/>
      <c r="C197" s="28"/>
      <c r="D197" s="28"/>
      <c r="E197" s="28"/>
      <c r="F197" s="28"/>
      <c r="G197" s="28"/>
      <c r="H197" s="29"/>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9"/>
      <c r="C198" s="28"/>
      <c r="D198" s="28"/>
      <c r="E198" s="28"/>
      <c r="F198" s="28"/>
      <c r="G198" s="28"/>
      <c r="H198" s="29"/>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9"/>
      <c r="C199" s="28"/>
      <c r="D199" s="28"/>
      <c r="E199" s="28"/>
      <c r="F199" s="28"/>
      <c r="G199" s="28"/>
      <c r="H199" s="29"/>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9"/>
      <c r="C200" s="28"/>
      <c r="D200" s="28"/>
      <c r="E200" s="28"/>
      <c r="F200" s="28"/>
      <c r="G200" s="28"/>
      <c r="H200" s="29"/>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9"/>
      <c r="C201" s="28"/>
      <c r="D201" s="28"/>
      <c r="E201" s="28"/>
      <c r="F201" s="28"/>
      <c r="G201" s="28"/>
      <c r="H201" s="29"/>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9"/>
      <c r="C202" s="28"/>
      <c r="D202" s="28"/>
      <c r="E202" s="28"/>
      <c r="F202" s="28"/>
      <c r="G202" s="28"/>
      <c r="H202" s="29"/>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9"/>
      <c r="C203" s="28"/>
      <c r="D203" s="28"/>
      <c r="E203" s="28"/>
      <c r="F203" s="28"/>
      <c r="G203" s="28"/>
      <c r="H203" s="29"/>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9"/>
      <c r="C204" s="28"/>
      <c r="D204" s="28"/>
      <c r="E204" s="28"/>
      <c r="F204" s="28"/>
      <c r="G204" s="28"/>
      <c r="H204" s="29"/>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9"/>
      <c r="C205" s="28"/>
      <c r="D205" s="28"/>
      <c r="E205" s="28"/>
      <c r="F205" s="28"/>
      <c r="G205" s="28"/>
      <c r="H205" s="29"/>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9"/>
      <c r="C206" s="28"/>
      <c r="D206" s="28"/>
      <c r="E206" s="28"/>
      <c r="F206" s="28"/>
      <c r="G206" s="28"/>
      <c r="H206" s="29"/>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9"/>
      <c r="C207" s="28"/>
      <c r="D207" s="28"/>
      <c r="E207" s="28"/>
      <c r="F207" s="28"/>
      <c r="G207" s="28"/>
      <c r="H207" s="29"/>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9"/>
      <c r="C208" s="28"/>
      <c r="D208" s="28"/>
      <c r="E208" s="28"/>
      <c r="F208" s="28"/>
      <c r="G208" s="28"/>
      <c r="H208" s="29"/>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9"/>
      <c r="C209" s="28"/>
      <c r="D209" s="28"/>
      <c r="E209" s="28"/>
      <c r="F209" s="28"/>
      <c r="G209" s="28"/>
      <c r="H209" s="29"/>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9"/>
      <c r="C210" s="28"/>
      <c r="D210" s="28"/>
      <c r="E210" s="28"/>
      <c r="F210" s="28"/>
      <c r="G210" s="28"/>
      <c r="H210" s="29"/>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9"/>
      <c r="C211" s="28"/>
      <c r="D211" s="28"/>
      <c r="E211" s="28"/>
      <c r="F211" s="28"/>
      <c r="G211" s="28"/>
      <c r="H211" s="29"/>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9"/>
      <c r="C212" s="28"/>
      <c r="D212" s="28"/>
      <c r="E212" s="28"/>
      <c r="F212" s="28"/>
      <c r="G212" s="28"/>
      <c r="H212" s="29"/>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9"/>
      <c r="C213" s="28"/>
      <c r="D213" s="28"/>
      <c r="E213" s="28"/>
      <c r="F213" s="28"/>
      <c r="G213" s="28"/>
      <c r="H213" s="29"/>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9"/>
      <c r="C214" s="28"/>
      <c r="D214" s="28"/>
      <c r="E214" s="28"/>
      <c r="F214" s="28"/>
      <c r="G214" s="28"/>
      <c r="H214" s="29"/>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9"/>
      <c r="C215" s="28"/>
      <c r="D215" s="28"/>
      <c r="E215" s="28"/>
      <c r="F215" s="28"/>
      <c r="G215" s="28"/>
      <c r="H215" s="29"/>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9"/>
      <c r="C216" s="28"/>
      <c r="D216" s="28"/>
      <c r="E216" s="28"/>
      <c r="F216" s="28"/>
      <c r="G216" s="28"/>
      <c r="H216" s="29"/>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9"/>
      <c r="C217" s="28"/>
      <c r="D217" s="28"/>
      <c r="E217" s="28"/>
      <c r="F217" s="28"/>
      <c r="G217" s="28"/>
      <c r="H217" s="29"/>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9"/>
      <c r="C218" s="28"/>
      <c r="D218" s="28"/>
      <c r="E218" s="28"/>
      <c r="F218" s="28"/>
      <c r="G218" s="28"/>
      <c r="H218" s="29"/>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9"/>
      <c r="C219" s="28"/>
      <c r="D219" s="28"/>
      <c r="E219" s="28"/>
      <c r="F219" s="28"/>
      <c r="G219" s="28"/>
      <c r="H219" s="29"/>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9"/>
      <c r="C220" s="28"/>
      <c r="D220" s="28"/>
      <c r="E220" s="28"/>
      <c r="F220" s="28"/>
      <c r="G220" s="28"/>
      <c r="H220" s="29"/>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9"/>
      <c r="C221" s="28"/>
      <c r="D221" s="28"/>
      <c r="E221" s="28"/>
      <c r="F221" s="28"/>
      <c r="G221" s="28"/>
      <c r="H221" s="29"/>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9"/>
      <c r="C222" s="28"/>
      <c r="D222" s="28"/>
      <c r="E222" s="28"/>
      <c r="F222" s="28"/>
      <c r="G222" s="28"/>
      <c r="H222" s="29"/>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9"/>
      <c r="C223" s="28"/>
      <c r="D223" s="28"/>
      <c r="E223" s="28"/>
      <c r="F223" s="28"/>
      <c r="G223" s="28"/>
      <c r="H223" s="29"/>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9"/>
      <c r="C224" s="28"/>
      <c r="D224" s="28"/>
      <c r="E224" s="28"/>
      <c r="F224" s="28"/>
      <c r="G224" s="28"/>
      <c r="H224" s="29"/>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9"/>
      <c r="C225" s="28"/>
      <c r="D225" s="28"/>
      <c r="E225" s="28"/>
      <c r="F225" s="28"/>
      <c r="G225" s="28"/>
      <c r="H225" s="29"/>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9"/>
      <c r="C226" s="28"/>
      <c r="D226" s="28"/>
      <c r="E226" s="28"/>
      <c r="F226" s="28"/>
      <c r="G226" s="28"/>
      <c r="H226" s="29"/>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9"/>
      <c r="C227" s="28"/>
      <c r="D227" s="28"/>
      <c r="E227" s="28"/>
      <c r="F227" s="28"/>
      <c r="G227" s="28"/>
      <c r="H227" s="29"/>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9"/>
      <c r="C228" s="28"/>
      <c r="D228" s="28"/>
      <c r="E228" s="28"/>
      <c r="F228" s="28"/>
      <c r="G228" s="28"/>
      <c r="H228" s="29"/>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9"/>
      <c r="C229" s="28"/>
      <c r="D229" s="28"/>
      <c r="E229" s="28"/>
      <c r="F229" s="28"/>
      <c r="G229" s="28"/>
      <c r="H229" s="29"/>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9"/>
      <c r="C230" s="28"/>
      <c r="D230" s="28"/>
      <c r="E230" s="28"/>
      <c r="F230" s="28"/>
      <c r="G230" s="28"/>
      <c r="H230" s="29"/>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9"/>
      <c r="C231" s="28"/>
      <c r="D231" s="28"/>
      <c r="E231" s="28"/>
      <c r="F231" s="28"/>
      <c r="G231" s="28"/>
      <c r="H231" s="29"/>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9"/>
      <c r="C232" s="28"/>
      <c r="D232" s="28"/>
      <c r="E232" s="28"/>
      <c r="F232" s="28"/>
      <c r="G232" s="28"/>
      <c r="H232" s="29"/>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9"/>
      <c r="C233" s="28"/>
      <c r="D233" s="28"/>
      <c r="E233" s="28"/>
      <c r="F233" s="28"/>
      <c r="G233" s="28"/>
      <c r="H233" s="29"/>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9"/>
      <c r="C234" s="28"/>
      <c r="D234" s="28"/>
      <c r="E234" s="28"/>
      <c r="F234" s="28"/>
      <c r="G234" s="28"/>
      <c r="H234" s="29"/>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9"/>
      <c r="C235" s="28"/>
      <c r="D235" s="28"/>
      <c r="E235" s="28"/>
      <c r="F235" s="28"/>
      <c r="G235" s="28"/>
      <c r="H235" s="29"/>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9"/>
      <c r="C236" s="28"/>
      <c r="D236" s="28"/>
      <c r="E236" s="28"/>
      <c r="F236" s="28"/>
      <c r="G236" s="28"/>
      <c r="H236" s="29"/>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9"/>
      <c r="C237" s="28"/>
      <c r="D237" s="28"/>
      <c r="E237" s="28"/>
      <c r="F237" s="28"/>
      <c r="G237" s="28"/>
      <c r="H237" s="29"/>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9"/>
      <c r="C238" s="28"/>
      <c r="D238" s="28"/>
      <c r="E238" s="28"/>
      <c r="F238" s="28"/>
      <c r="G238" s="28"/>
      <c r="H238" s="29"/>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9"/>
      <c r="C239" s="28"/>
      <c r="D239" s="28"/>
      <c r="E239" s="28"/>
      <c r="F239" s="28"/>
      <c r="G239" s="28"/>
      <c r="H239" s="29"/>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9"/>
      <c r="C240" s="28"/>
      <c r="D240" s="28"/>
      <c r="E240" s="28"/>
      <c r="F240" s="28"/>
      <c r="G240" s="28"/>
      <c r="H240" s="29"/>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9"/>
      <c r="C241" s="28"/>
      <c r="D241" s="28"/>
      <c r="E241" s="28"/>
      <c r="F241" s="28"/>
      <c r="G241" s="28"/>
      <c r="H241" s="29"/>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9"/>
      <c r="C242" s="28"/>
      <c r="D242" s="28"/>
      <c r="E242" s="28"/>
      <c r="F242" s="28"/>
      <c r="G242" s="28"/>
      <c r="H242" s="29"/>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9"/>
      <c r="C243" s="28"/>
      <c r="D243" s="28"/>
      <c r="E243" s="28"/>
      <c r="F243" s="28"/>
      <c r="G243" s="28"/>
      <c r="H243" s="29"/>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9"/>
      <c r="C244" s="28"/>
      <c r="D244" s="28"/>
      <c r="E244" s="28"/>
      <c r="F244" s="28"/>
      <c r="G244" s="28"/>
      <c r="H244" s="29"/>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9"/>
      <c r="C245" s="28"/>
      <c r="D245" s="28"/>
      <c r="E245" s="28"/>
      <c r="F245" s="28"/>
      <c r="G245" s="28"/>
      <c r="H245" s="29"/>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9"/>
      <c r="C246" s="28"/>
      <c r="D246" s="28"/>
      <c r="E246" s="28"/>
      <c r="F246" s="28"/>
      <c r="G246" s="28"/>
      <c r="H246" s="29"/>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9"/>
      <c r="C247" s="28"/>
      <c r="D247" s="28"/>
      <c r="E247" s="28"/>
      <c r="F247" s="28"/>
      <c r="G247" s="28"/>
      <c r="H247" s="29"/>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9"/>
      <c r="C248" s="28"/>
      <c r="D248" s="28"/>
      <c r="E248" s="28"/>
      <c r="F248" s="28"/>
      <c r="G248" s="28"/>
      <c r="H248" s="29"/>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9"/>
      <c r="C249" s="28"/>
      <c r="D249" s="28"/>
      <c r="E249" s="28"/>
      <c r="F249" s="28"/>
      <c r="G249" s="28"/>
      <c r="H249" s="29"/>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9"/>
      <c r="C250" s="28"/>
      <c r="D250" s="28"/>
      <c r="E250" s="28"/>
      <c r="F250" s="28"/>
      <c r="G250" s="28"/>
      <c r="H250" s="29"/>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9"/>
      <c r="C251" s="28"/>
      <c r="D251" s="28"/>
      <c r="E251" s="28"/>
      <c r="F251" s="28"/>
      <c r="G251" s="28"/>
      <c r="H251" s="29"/>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9"/>
      <c r="C252" s="28"/>
      <c r="D252" s="28"/>
      <c r="E252" s="28"/>
      <c r="F252" s="28"/>
      <c r="G252" s="28"/>
      <c r="H252" s="29"/>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9"/>
      <c r="C253" s="28"/>
      <c r="D253" s="28"/>
      <c r="E253" s="28"/>
      <c r="F253" s="28"/>
      <c r="G253" s="28"/>
      <c r="H253" s="29"/>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9"/>
      <c r="C254" s="28"/>
      <c r="D254" s="28"/>
      <c r="E254" s="28"/>
      <c r="F254" s="28"/>
      <c r="G254" s="28"/>
      <c r="H254" s="29"/>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9"/>
      <c r="C255" s="28"/>
      <c r="D255" s="28"/>
      <c r="E255" s="28"/>
      <c r="F255" s="28"/>
      <c r="G255" s="28"/>
      <c r="H255" s="29"/>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9"/>
      <c r="C256" s="28"/>
      <c r="D256" s="28"/>
      <c r="E256" s="28"/>
      <c r="F256" s="28"/>
      <c r="G256" s="28"/>
      <c r="H256" s="29"/>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9"/>
      <c r="C257" s="28"/>
      <c r="D257" s="28"/>
      <c r="E257" s="28"/>
      <c r="F257" s="28"/>
      <c r="G257" s="28"/>
      <c r="H257" s="29"/>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9"/>
      <c r="C258" s="28"/>
      <c r="D258" s="28"/>
      <c r="E258" s="28"/>
      <c r="F258" s="28"/>
      <c r="G258" s="28"/>
      <c r="H258" s="29"/>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9"/>
      <c r="C259" s="28"/>
      <c r="D259" s="28"/>
      <c r="E259" s="28"/>
      <c r="F259" s="28"/>
      <c r="G259" s="28"/>
      <c r="H259" s="29"/>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9"/>
      <c r="C260" s="28"/>
      <c r="D260" s="28"/>
      <c r="E260" s="28"/>
      <c r="F260" s="28"/>
      <c r="G260" s="28"/>
      <c r="H260" s="29"/>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9"/>
      <c r="C261" s="28"/>
      <c r="D261" s="28"/>
      <c r="E261" s="28"/>
      <c r="F261" s="28"/>
      <c r="G261" s="28"/>
      <c r="H261" s="29"/>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9"/>
      <c r="C262" s="28"/>
      <c r="D262" s="28"/>
      <c r="E262" s="28"/>
      <c r="F262" s="28"/>
      <c r="G262" s="28"/>
      <c r="H262" s="29"/>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9"/>
      <c r="C263" s="28"/>
      <c r="D263" s="28"/>
      <c r="E263" s="28"/>
      <c r="F263" s="28"/>
      <c r="G263" s="28"/>
      <c r="H263" s="29"/>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9"/>
      <c r="C264" s="28"/>
      <c r="D264" s="28"/>
      <c r="E264" s="28"/>
      <c r="F264" s="28"/>
      <c r="G264" s="28"/>
      <c r="H264" s="29"/>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9"/>
      <c r="C265" s="28"/>
      <c r="D265" s="28"/>
      <c r="E265" s="28"/>
      <c r="F265" s="28"/>
      <c r="G265" s="28"/>
      <c r="H265" s="29"/>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9"/>
      <c r="C266" s="28"/>
      <c r="D266" s="28"/>
      <c r="E266" s="28"/>
      <c r="F266" s="28"/>
      <c r="G266" s="28"/>
      <c r="H266" s="29"/>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9"/>
      <c r="C267" s="28"/>
      <c r="D267" s="28"/>
      <c r="E267" s="28"/>
      <c r="F267" s="28"/>
      <c r="G267" s="28"/>
      <c r="H267" s="29"/>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9"/>
      <c r="C268" s="28"/>
      <c r="D268" s="28"/>
      <c r="E268" s="28"/>
      <c r="F268" s="28"/>
      <c r="G268" s="28"/>
      <c r="H268" s="29"/>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9"/>
      <c r="C269" s="28"/>
      <c r="D269" s="28"/>
      <c r="E269" s="28"/>
      <c r="F269" s="28"/>
      <c r="G269" s="28"/>
      <c r="H269" s="29"/>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9"/>
      <c r="C270" s="28"/>
      <c r="D270" s="28"/>
      <c r="E270" s="28"/>
      <c r="F270" s="28"/>
      <c r="G270" s="28"/>
      <c r="H270" s="29"/>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9"/>
      <c r="C271" s="28"/>
      <c r="D271" s="28"/>
      <c r="E271" s="28"/>
      <c r="F271" s="28"/>
      <c r="G271" s="28"/>
      <c r="H271" s="29"/>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9"/>
      <c r="C272" s="28"/>
      <c r="D272" s="28"/>
      <c r="E272" s="28"/>
      <c r="F272" s="28"/>
      <c r="G272" s="28"/>
      <c r="H272" s="29"/>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9"/>
      <c r="C273" s="28"/>
      <c r="D273" s="28"/>
      <c r="E273" s="28"/>
      <c r="F273" s="28"/>
      <c r="G273" s="28"/>
      <c r="H273" s="29"/>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9"/>
      <c r="C274" s="28"/>
      <c r="D274" s="28"/>
      <c r="E274" s="28"/>
      <c r="F274" s="28"/>
      <c r="G274" s="28"/>
      <c r="H274" s="29"/>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9"/>
      <c r="C275" s="28"/>
      <c r="D275" s="28"/>
      <c r="E275" s="28"/>
      <c r="F275" s="28"/>
      <c r="G275" s="28"/>
      <c r="H275" s="29"/>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9"/>
      <c r="C276" s="28"/>
      <c r="D276" s="28"/>
      <c r="E276" s="28"/>
      <c r="F276" s="28"/>
      <c r="G276" s="28"/>
      <c r="H276" s="29"/>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9"/>
      <c r="C277" s="28"/>
      <c r="D277" s="28"/>
      <c r="E277" s="28"/>
      <c r="F277" s="28"/>
      <c r="G277" s="28"/>
      <c r="H277" s="29"/>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9"/>
      <c r="C278" s="28"/>
      <c r="D278" s="28"/>
      <c r="E278" s="28"/>
      <c r="F278" s="28"/>
      <c r="G278" s="28"/>
      <c r="H278" s="29"/>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9"/>
      <c r="C279" s="28"/>
      <c r="D279" s="28"/>
      <c r="E279" s="28"/>
      <c r="F279" s="28"/>
      <c r="G279" s="28"/>
      <c r="H279" s="29"/>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9"/>
      <c r="C280" s="28"/>
      <c r="D280" s="28"/>
      <c r="E280" s="28"/>
      <c r="F280" s="28"/>
      <c r="G280" s="28"/>
      <c r="H280" s="29"/>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9"/>
      <c r="C281" s="28"/>
      <c r="D281" s="28"/>
      <c r="E281" s="28"/>
      <c r="F281" s="28"/>
      <c r="G281" s="28"/>
      <c r="H281" s="29"/>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9"/>
      <c r="C282" s="28"/>
      <c r="D282" s="28"/>
      <c r="E282" s="28"/>
      <c r="F282" s="28"/>
      <c r="G282" s="28"/>
      <c r="H282" s="29"/>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9"/>
      <c r="C283" s="28"/>
      <c r="D283" s="28"/>
      <c r="E283" s="28"/>
      <c r="F283" s="28"/>
      <c r="G283" s="28"/>
      <c r="H283" s="29"/>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9"/>
      <c r="C284" s="28"/>
      <c r="D284" s="28"/>
      <c r="E284" s="28"/>
      <c r="F284" s="28"/>
      <c r="G284" s="28"/>
      <c r="H284" s="29"/>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9"/>
      <c r="C285" s="28"/>
      <c r="D285" s="28"/>
      <c r="E285" s="28"/>
      <c r="F285" s="28"/>
      <c r="G285" s="28"/>
      <c r="H285" s="29"/>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9"/>
      <c r="C286" s="28"/>
      <c r="D286" s="28"/>
      <c r="E286" s="28"/>
      <c r="F286" s="28"/>
      <c r="G286" s="28"/>
      <c r="H286" s="29"/>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9"/>
      <c r="C287" s="28"/>
      <c r="D287" s="28"/>
      <c r="E287" s="28"/>
      <c r="F287" s="28"/>
      <c r="G287" s="28"/>
      <c r="H287" s="29"/>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9"/>
      <c r="C288" s="28"/>
      <c r="D288" s="28"/>
      <c r="E288" s="28"/>
      <c r="F288" s="28"/>
      <c r="G288" s="28"/>
      <c r="H288" s="29"/>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9"/>
      <c r="C289" s="28"/>
      <c r="D289" s="28"/>
      <c r="E289" s="28"/>
      <c r="F289" s="28"/>
      <c r="G289" s="28"/>
      <c r="H289" s="29"/>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9"/>
      <c r="C290" s="28"/>
      <c r="D290" s="28"/>
      <c r="E290" s="28"/>
      <c r="F290" s="28"/>
      <c r="G290" s="28"/>
      <c r="H290" s="29"/>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9"/>
      <c r="C291" s="28"/>
      <c r="D291" s="28"/>
      <c r="E291" s="28"/>
      <c r="F291" s="28"/>
      <c r="G291" s="28"/>
      <c r="H291" s="29"/>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9"/>
      <c r="C292" s="28"/>
      <c r="D292" s="28"/>
      <c r="E292" s="28"/>
      <c r="F292" s="28"/>
      <c r="G292" s="28"/>
      <c r="H292" s="29"/>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9"/>
      <c r="C293" s="28"/>
      <c r="D293" s="28"/>
      <c r="E293" s="28"/>
      <c r="F293" s="28"/>
      <c r="G293" s="28"/>
      <c r="H293" s="29"/>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9"/>
      <c r="C294" s="28"/>
      <c r="D294" s="28"/>
      <c r="E294" s="28"/>
      <c r="F294" s="28"/>
      <c r="G294" s="28"/>
      <c r="H294" s="29"/>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9"/>
      <c r="C295" s="28"/>
      <c r="D295" s="28"/>
      <c r="E295" s="28"/>
      <c r="F295" s="28"/>
      <c r="G295" s="28"/>
      <c r="H295" s="29"/>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9"/>
      <c r="C296" s="28"/>
      <c r="D296" s="28"/>
      <c r="E296" s="28"/>
      <c r="F296" s="28"/>
      <c r="G296" s="28"/>
      <c r="H296" s="29"/>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9"/>
      <c r="C297" s="28"/>
      <c r="D297" s="28"/>
      <c r="E297" s="28"/>
      <c r="F297" s="28"/>
      <c r="G297" s="28"/>
      <c r="H297" s="29"/>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9"/>
      <c r="C298" s="28"/>
      <c r="D298" s="28"/>
      <c r="E298" s="28"/>
      <c r="F298" s="28"/>
      <c r="G298" s="28"/>
      <c r="H298" s="29"/>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9"/>
      <c r="C299" s="28"/>
      <c r="D299" s="28"/>
      <c r="E299" s="28"/>
      <c r="F299" s="28"/>
      <c r="G299" s="28"/>
      <c r="H299" s="29"/>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9"/>
      <c r="C300" s="28"/>
      <c r="D300" s="28"/>
      <c r="E300" s="28"/>
      <c r="F300" s="28"/>
      <c r="G300" s="28"/>
      <c r="H300" s="29"/>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9"/>
      <c r="C301" s="28"/>
      <c r="D301" s="28"/>
      <c r="E301" s="28"/>
      <c r="F301" s="28"/>
      <c r="G301" s="28"/>
      <c r="H301" s="29"/>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9"/>
      <c r="C302" s="28"/>
      <c r="D302" s="28"/>
      <c r="E302" s="28"/>
      <c r="F302" s="28"/>
      <c r="G302" s="28"/>
      <c r="H302" s="29"/>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9"/>
      <c r="C303" s="28"/>
      <c r="D303" s="28"/>
      <c r="E303" s="28"/>
      <c r="F303" s="28"/>
      <c r="G303" s="28"/>
      <c r="H303" s="29"/>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9"/>
      <c r="C304" s="28"/>
      <c r="D304" s="28"/>
      <c r="E304" s="28"/>
      <c r="F304" s="28"/>
      <c r="G304" s="28"/>
      <c r="H304" s="29"/>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9"/>
      <c r="C305" s="28"/>
      <c r="D305" s="28"/>
      <c r="E305" s="28"/>
      <c r="F305" s="28"/>
      <c r="G305" s="28"/>
      <c r="H305" s="29"/>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9"/>
      <c r="C306" s="28"/>
      <c r="D306" s="28"/>
      <c r="E306" s="28"/>
      <c r="F306" s="28"/>
      <c r="G306" s="28"/>
      <c r="H306" s="29"/>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9"/>
      <c r="C307" s="28"/>
      <c r="D307" s="28"/>
      <c r="E307" s="28"/>
      <c r="F307" s="28"/>
      <c r="G307" s="28"/>
      <c r="H307" s="29"/>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9"/>
      <c r="C308" s="28"/>
      <c r="D308" s="28"/>
      <c r="E308" s="28"/>
      <c r="F308" s="28"/>
      <c r="G308" s="28"/>
      <c r="H308" s="29"/>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9"/>
      <c r="C309" s="28"/>
      <c r="D309" s="28"/>
      <c r="E309" s="28"/>
      <c r="F309" s="28"/>
      <c r="G309" s="28"/>
      <c r="H309" s="29"/>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9"/>
      <c r="C310" s="28"/>
      <c r="D310" s="28"/>
      <c r="E310" s="28"/>
      <c r="F310" s="28"/>
      <c r="G310" s="28"/>
      <c r="H310" s="29"/>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9"/>
      <c r="C311" s="28"/>
      <c r="D311" s="28"/>
      <c r="E311" s="28"/>
      <c r="F311" s="28"/>
      <c r="G311" s="28"/>
      <c r="H311" s="29"/>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9"/>
      <c r="C312" s="28"/>
      <c r="D312" s="28"/>
      <c r="E312" s="28"/>
      <c r="F312" s="28"/>
      <c r="G312" s="28"/>
      <c r="H312" s="29"/>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9"/>
      <c r="C313" s="28"/>
      <c r="D313" s="28"/>
      <c r="E313" s="28"/>
      <c r="F313" s="28"/>
      <c r="G313" s="28"/>
      <c r="H313" s="29"/>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9"/>
      <c r="C314" s="28"/>
      <c r="D314" s="28"/>
      <c r="E314" s="28"/>
      <c r="F314" s="28"/>
      <c r="G314" s="28"/>
      <c r="H314" s="29"/>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9"/>
      <c r="C315" s="28"/>
      <c r="D315" s="28"/>
      <c r="E315" s="28"/>
      <c r="F315" s="28"/>
      <c r="G315" s="28"/>
      <c r="H315" s="29"/>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9"/>
      <c r="C316" s="28"/>
      <c r="D316" s="28"/>
      <c r="E316" s="28"/>
      <c r="F316" s="28"/>
      <c r="G316" s="28"/>
      <c r="H316" s="29"/>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9"/>
      <c r="C317" s="28"/>
      <c r="D317" s="28"/>
      <c r="E317" s="28"/>
      <c r="F317" s="28"/>
      <c r="G317" s="28"/>
      <c r="H317" s="29"/>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9"/>
      <c r="C318" s="28"/>
      <c r="D318" s="28"/>
      <c r="E318" s="28"/>
      <c r="F318" s="28"/>
      <c r="G318" s="28"/>
      <c r="H318" s="29"/>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9"/>
      <c r="C319" s="28"/>
      <c r="D319" s="28"/>
      <c r="E319" s="28"/>
      <c r="F319" s="28"/>
      <c r="G319" s="28"/>
      <c r="H319" s="29"/>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9"/>
      <c r="C320" s="28"/>
      <c r="D320" s="28"/>
      <c r="E320" s="28"/>
      <c r="F320" s="28"/>
      <c r="G320" s="28"/>
      <c r="H320" s="29"/>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9"/>
      <c r="C321" s="28"/>
      <c r="D321" s="28"/>
      <c r="E321" s="28"/>
      <c r="F321" s="28"/>
      <c r="G321" s="28"/>
      <c r="H321" s="29"/>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9"/>
      <c r="C322" s="28"/>
      <c r="D322" s="28"/>
      <c r="E322" s="28"/>
      <c r="F322" s="28"/>
      <c r="G322" s="28"/>
      <c r="H322" s="29"/>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9"/>
      <c r="C323" s="28"/>
      <c r="D323" s="28"/>
      <c r="E323" s="28"/>
      <c r="F323" s="28"/>
      <c r="G323" s="28"/>
      <c r="H323" s="29"/>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9"/>
      <c r="C324" s="28"/>
      <c r="D324" s="28"/>
      <c r="E324" s="28"/>
      <c r="F324" s="28"/>
      <c r="G324" s="28"/>
      <c r="H324" s="29"/>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9"/>
      <c r="C325" s="28"/>
      <c r="D325" s="28"/>
      <c r="E325" s="28"/>
      <c r="F325" s="28"/>
      <c r="G325" s="28"/>
      <c r="H325" s="29"/>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9"/>
      <c r="C326" s="28"/>
      <c r="D326" s="28"/>
      <c r="E326" s="28"/>
      <c r="F326" s="28"/>
      <c r="G326" s="28"/>
      <c r="H326" s="29"/>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9"/>
      <c r="C327" s="28"/>
      <c r="D327" s="28"/>
      <c r="E327" s="28"/>
      <c r="F327" s="28"/>
      <c r="G327" s="28"/>
      <c r="H327" s="29"/>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9"/>
      <c r="C328" s="28"/>
      <c r="D328" s="28"/>
      <c r="E328" s="28"/>
      <c r="F328" s="28"/>
      <c r="G328" s="28"/>
      <c r="H328" s="29"/>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9"/>
      <c r="C329" s="28"/>
      <c r="D329" s="28"/>
      <c r="E329" s="28"/>
      <c r="F329" s="28"/>
      <c r="G329" s="28"/>
      <c r="H329" s="29"/>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9"/>
      <c r="C330" s="28"/>
      <c r="D330" s="28"/>
      <c r="E330" s="28"/>
      <c r="F330" s="28"/>
      <c r="G330" s="28"/>
      <c r="H330" s="29"/>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9"/>
      <c r="C331" s="28"/>
      <c r="D331" s="28"/>
      <c r="E331" s="28"/>
      <c r="F331" s="28"/>
      <c r="G331" s="28"/>
      <c r="H331" s="29"/>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9"/>
      <c r="C332" s="28"/>
      <c r="D332" s="28"/>
      <c r="E332" s="28"/>
      <c r="F332" s="28"/>
      <c r="G332" s="28"/>
      <c r="H332" s="29"/>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9"/>
      <c r="C333" s="28"/>
      <c r="D333" s="28"/>
      <c r="E333" s="28"/>
      <c r="F333" s="28"/>
      <c r="G333" s="28"/>
      <c r="H333" s="29"/>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9"/>
      <c r="C334" s="28"/>
      <c r="D334" s="28"/>
      <c r="E334" s="28"/>
      <c r="F334" s="28"/>
      <c r="G334" s="28"/>
      <c r="H334" s="29"/>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9"/>
      <c r="C335" s="28"/>
      <c r="D335" s="28"/>
      <c r="E335" s="28"/>
      <c r="F335" s="28"/>
      <c r="G335" s="28"/>
      <c r="H335" s="29"/>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9"/>
      <c r="C336" s="28"/>
      <c r="D336" s="28"/>
      <c r="E336" s="28"/>
      <c r="F336" s="28"/>
      <c r="G336" s="28"/>
      <c r="H336" s="29"/>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9"/>
      <c r="C337" s="28"/>
      <c r="D337" s="28"/>
      <c r="E337" s="28"/>
      <c r="F337" s="28"/>
      <c r="G337" s="28"/>
      <c r="H337" s="29"/>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9"/>
      <c r="C338" s="28"/>
      <c r="D338" s="28"/>
      <c r="E338" s="28"/>
      <c r="F338" s="28"/>
      <c r="G338" s="28"/>
      <c r="H338" s="29"/>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9"/>
      <c r="C339" s="28"/>
      <c r="D339" s="28"/>
      <c r="E339" s="28"/>
      <c r="F339" s="28"/>
      <c r="G339" s="28"/>
      <c r="H339" s="29"/>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9"/>
      <c r="C340" s="28"/>
      <c r="D340" s="28"/>
      <c r="E340" s="28"/>
      <c r="F340" s="28"/>
      <c r="G340" s="28"/>
      <c r="H340" s="29"/>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9"/>
      <c r="C341" s="28"/>
      <c r="D341" s="28"/>
      <c r="E341" s="28"/>
      <c r="F341" s="28"/>
      <c r="G341" s="28"/>
      <c r="H341" s="29"/>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9"/>
      <c r="C342" s="28"/>
      <c r="D342" s="28"/>
      <c r="E342" s="28"/>
      <c r="F342" s="28"/>
      <c r="G342" s="28"/>
      <c r="H342" s="29"/>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9"/>
      <c r="C343" s="28"/>
      <c r="D343" s="28"/>
      <c r="E343" s="28"/>
      <c r="F343" s="28"/>
      <c r="G343" s="28"/>
      <c r="H343" s="29"/>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9"/>
      <c r="C344" s="28"/>
      <c r="D344" s="28"/>
      <c r="E344" s="28"/>
      <c r="F344" s="28"/>
      <c r="G344" s="28"/>
      <c r="H344" s="29"/>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9"/>
      <c r="C345" s="28"/>
      <c r="D345" s="28"/>
      <c r="E345" s="28"/>
      <c r="F345" s="28"/>
      <c r="G345" s="28"/>
      <c r="H345" s="29"/>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9"/>
      <c r="C346" s="28"/>
      <c r="D346" s="28"/>
      <c r="E346" s="28"/>
      <c r="F346" s="28"/>
      <c r="G346" s="28"/>
      <c r="H346" s="29"/>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9"/>
      <c r="C347" s="28"/>
      <c r="D347" s="28"/>
      <c r="E347" s="28"/>
      <c r="F347" s="28"/>
      <c r="G347" s="28"/>
      <c r="H347" s="29"/>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9"/>
      <c r="C348" s="28"/>
      <c r="D348" s="28"/>
      <c r="E348" s="28"/>
      <c r="F348" s="28"/>
      <c r="G348" s="28"/>
      <c r="H348" s="29"/>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9"/>
      <c r="C349" s="28"/>
      <c r="D349" s="28"/>
      <c r="E349" s="28"/>
      <c r="F349" s="28"/>
      <c r="G349" s="28"/>
      <c r="H349" s="29"/>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9"/>
      <c r="C350" s="28"/>
      <c r="D350" s="28"/>
      <c r="E350" s="28"/>
      <c r="F350" s="28"/>
      <c r="G350" s="28"/>
      <c r="H350" s="29"/>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9"/>
      <c r="C351" s="28"/>
      <c r="D351" s="28"/>
      <c r="E351" s="28"/>
      <c r="F351" s="28"/>
      <c r="G351" s="28"/>
      <c r="H351" s="29"/>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9"/>
      <c r="C352" s="28"/>
      <c r="D352" s="28"/>
      <c r="E352" s="28"/>
      <c r="F352" s="28"/>
      <c r="G352" s="28"/>
      <c r="H352" s="29"/>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9"/>
      <c r="C353" s="28"/>
      <c r="D353" s="28"/>
      <c r="E353" s="28"/>
      <c r="F353" s="28"/>
      <c r="G353" s="28"/>
      <c r="H353" s="29"/>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9"/>
      <c r="C354" s="28"/>
      <c r="D354" s="28"/>
      <c r="E354" s="28"/>
      <c r="F354" s="28"/>
      <c r="G354" s="28"/>
      <c r="H354" s="29"/>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9"/>
      <c r="C355" s="28"/>
      <c r="D355" s="28"/>
      <c r="E355" s="28"/>
      <c r="F355" s="28"/>
      <c r="G355" s="28"/>
      <c r="H355" s="29"/>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9"/>
      <c r="C356" s="28"/>
      <c r="D356" s="28"/>
      <c r="E356" s="28"/>
      <c r="F356" s="28"/>
      <c r="G356" s="28"/>
      <c r="H356" s="29"/>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9"/>
      <c r="C357" s="28"/>
      <c r="D357" s="28"/>
      <c r="E357" s="28"/>
      <c r="F357" s="28"/>
      <c r="G357" s="28"/>
      <c r="H357" s="29"/>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9"/>
      <c r="C358" s="28"/>
      <c r="D358" s="28"/>
      <c r="E358" s="28"/>
      <c r="F358" s="28"/>
      <c r="G358" s="28"/>
      <c r="H358" s="29"/>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9"/>
      <c r="C359" s="28"/>
      <c r="D359" s="28"/>
      <c r="E359" s="28"/>
      <c r="F359" s="28"/>
      <c r="G359" s="28"/>
      <c r="H359" s="29"/>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9"/>
      <c r="C360" s="28"/>
      <c r="D360" s="28"/>
      <c r="E360" s="28"/>
      <c r="F360" s="28"/>
      <c r="G360" s="28"/>
      <c r="H360" s="29"/>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9"/>
      <c r="C361" s="28"/>
      <c r="D361" s="28"/>
      <c r="E361" s="28"/>
      <c r="F361" s="28"/>
      <c r="G361" s="28"/>
      <c r="H361" s="29"/>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9"/>
      <c r="C362" s="28"/>
      <c r="D362" s="28"/>
      <c r="E362" s="28"/>
      <c r="F362" s="28"/>
      <c r="G362" s="28"/>
      <c r="H362" s="29"/>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9"/>
      <c r="C363" s="28"/>
      <c r="D363" s="28"/>
      <c r="E363" s="28"/>
      <c r="F363" s="28"/>
      <c r="G363" s="28"/>
      <c r="H363" s="29"/>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9"/>
      <c r="C364" s="28"/>
      <c r="D364" s="28"/>
      <c r="E364" s="28"/>
      <c r="F364" s="28"/>
      <c r="G364" s="28"/>
      <c r="H364" s="29"/>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9"/>
      <c r="C365" s="28"/>
      <c r="D365" s="28"/>
      <c r="E365" s="28"/>
      <c r="F365" s="28"/>
      <c r="G365" s="28"/>
      <c r="H365" s="29"/>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9"/>
      <c r="C366" s="28"/>
      <c r="D366" s="28"/>
      <c r="E366" s="28"/>
      <c r="F366" s="28"/>
      <c r="G366" s="28"/>
      <c r="H366" s="29"/>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9"/>
      <c r="C367" s="28"/>
      <c r="D367" s="28"/>
      <c r="E367" s="28"/>
      <c r="F367" s="28"/>
      <c r="G367" s="28"/>
      <c r="H367" s="29"/>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9"/>
      <c r="C368" s="28"/>
      <c r="D368" s="28"/>
      <c r="E368" s="28"/>
      <c r="F368" s="28"/>
      <c r="G368" s="28"/>
      <c r="H368" s="29"/>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9"/>
      <c r="C369" s="28"/>
      <c r="D369" s="28"/>
      <c r="E369" s="28"/>
      <c r="F369" s="28"/>
      <c r="G369" s="28"/>
      <c r="H369" s="29"/>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9"/>
      <c r="C370" s="28"/>
      <c r="D370" s="28"/>
      <c r="E370" s="28"/>
      <c r="F370" s="28"/>
      <c r="G370" s="28"/>
      <c r="H370" s="29"/>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9"/>
      <c r="C371" s="28"/>
      <c r="D371" s="28"/>
      <c r="E371" s="28"/>
      <c r="F371" s="28"/>
      <c r="G371" s="28"/>
      <c r="H371" s="29"/>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9"/>
      <c r="C372" s="28"/>
      <c r="D372" s="28"/>
      <c r="E372" s="28"/>
      <c r="F372" s="28"/>
      <c r="G372" s="28"/>
      <c r="H372" s="29"/>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9"/>
      <c r="C373" s="28"/>
      <c r="D373" s="28"/>
      <c r="E373" s="28"/>
      <c r="F373" s="28"/>
      <c r="G373" s="28"/>
      <c r="H373" s="29"/>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9"/>
      <c r="C374" s="28"/>
      <c r="D374" s="28"/>
      <c r="E374" s="28"/>
      <c r="F374" s="28"/>
      <c r="G374" s="28"/>
      <c r="H374" s="29"/>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9"/>
      <c r="C375" s="28"/>
      <c r="D375" s="28"/>
      <c r="E375" s="28"/>
      <c r="F375" s="28"/>
      <c r="G375" s="28"/>
      <c r="H375" s="29"/>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9"/>
      <c r="C376" s="28"/>
      <c r="D376" s="28"/>
      <c r="E376" s="28"/>
      <c r="F376" s="28"/>
      <c r="G376" s="28"/>
      <c r="H376" s="29"/>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9"/>
      <c r="C377" s="28"/>
      <c r="D377" s="28"/>
      <c r="E377" s="28"/>
      <c r="F377" s="28"/>
      <c r="G377" s="28"/>
      <c r="H377" s="29"/>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9"/>
      <c r="C378" s="28"/>
      <c r="D378" s="28"/>
      <c r="E378" s="28"/>
      <c r="F378" s="28"/>
      <c r="G378" s="28"/>
      <c r="H378" s="29"/>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9"/>
      <c r="C379" s="28"/>
      <c r="D379" s="28"/>
      <c r="E379" s="28"/>
      <c r="F379" s="28"/>
      <c r="G379" s="28"/>
      <c r="H379" s="29"/>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9"/>
      <c r="C380" s="28"/>
      <c r="D380" s="28"/>
      <c r="E380" s="28"/>
      <c r="F380" s="28"/>
      <c r="G380" s="28"/>
      <c r="H380" s="29"/>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9"/>
      <c r="C381" s="28"/>
      <c r="D381" s="28"/>
      <c r="E381" s="28"/>
      <c r="F381" s="28"/>
      <c r="G381" s="28"/>
      <c r="H381" s="29"/>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9"/>
      <c r="C382" s="28"/>
      <c r="D382" s="28"/>
      <c r="E382" s="28"/>
      <c r="F382" s="28"/>
      <c r="G382" s="28"/>
      <c r="H382" s="29"/>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9"/>
      <c r="C383" s="28"/>
      <c r="D383" s="28"/>
      <c r="E383" s="28"/>
      <c r="F383" s="28"/>
      <c r="G383" s="28"/>
      <c r="H383" s="29"/>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9"/>
      <c r="C384" s="28"/>
      <c r="D384" s="28"/>
      <c r="E384" s="28"/>
      <c r="F384" s="28"/>
      <c r="G384" s="28"/>
      <c r="H384" s="29"/>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9"/>
      <c r="C385" s="28"/>
      <c r="D385" s="28"/>
      <c r="E385" s="28"/>
      <c r="F385" s="28"/>
      <c r="G385" s="28"/>
      <c r="H385" s="29"/>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9"/>
      <c r="C386" s="28"/>
      <c r="D386" s="28"/>
      <c r="E386" s="28"/>
      <c r="F386" s="28"/>
      <c r="G386" s="28"/>
      <c r="H386" s="29"/>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9"/>
      <c r="C387" s="28"/>
      <c r="D387" s="28"/>
      <c r="E387" s="28"/>
      <c r="F387" s="28"/>
      <c r="G387" s="28"/>
      <c r="H387" s="29"/>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9"/>
      <c r="C388" s="28"/>
      <c r="D388" s="28"/>
      <c r="E388" s="28"/>
      <c r="F388" s="28"/>
      <c r="G388" s="28"/>
      <c r="H388" s="29"/>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9"/>
      <c r="C389" s="28"/>
      <c r="D389" s="28"/>
      <c r="E389" s="28"/>
      <c r="F389" s="28"/>
      <c r="G389" s="28"/>
      <c r="H389" s="29"/>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9"/>
      <c r="C390" s="28"/>
      <c r="D390" s="28"/>
      <c r="E390" s="28"/>
      <c r="F390" s="28"/>
      <c r="G390" s="28"/>
      <c r="H390" s="29"/>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9"/>
      <c r="C391" s="28"/>
      <c r="D391" s="28"/>
      <c r="E391" s="28"/>
      <c r="F391" s="28"/>
      <c r="G391" s="28"/>
      <c r="H391" s="29"/>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9"/>
      <c r="C392" s="28"/>
      <c r="D392" s="28"/>
      <c r="E392" s="28"/>
      <c r="F392" s="28"/>
      <c r="G392" s="28"/>
      <c r="H392" s="29"/>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9"/>
      <c r="C393" s="28"/>
      <c r="D393" s="28"/>
      <c r="E393" s="28"/>
      <c r="F393" s="28"/>
      <c r="G393" s="28"/>
      <c r="H393" s="29"/>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9"/>
      <c r="C394" s="28"/>
      <c r="D394" s="28"/>
      <c r="E394" s="28"/>
      <c r="F394" s="28"/>
      <c r="G394" s="28"/>
      <c r="H394" s="29"/>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9"/>
      <c r="C395" s="28"/>
      <c r="D395" s="28"/>
      <c r="E395" s="28"/>
      <c r="F395" s="28"/>
      <c r="G395" s="28"/>
      <c r="H395" s="29"/>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9"/>
      <c r="C396" s="28"/>
      <c r="D396" s="28"/>
      <c r="E396" s="28"/>
      <c r="F396" s="28"/>
      <c r="G396" s="28"/>
      <c r="H396" s="29"/>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9"/>
      <c r="C397" s="28"/>
      <c r="D397" s="28"/>
      <c r="E397" s="28"/>
      <c r="F397" s="28"/>
      <c r="G397" s="28"/>
      <c r="H397" s="29"/>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9"/>
      <c r="C398" s="28"/>
      <c r="D398" s="28"/>
      <c r="E398" s="28"/>
      <c r="F398" s="28"/>
      <c r="G398" s="28"/>
      <c r="H398" s="29"/>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9"/>
      <c r="C399" s="28"/>
      <c r="D399" s="28"/>
      <c r="E399" s="28"/>
      <c r="F399" s="28"/>
      <c r="G399" s="28"/>
      <c r="H399" s="29"/>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9"/>
      <c r="C400" s="28"/>
      <c r="D400" s="28"/>
      <c r="E400" s="28"/>
      <c r="F400" s="28"/>
      <c r="G400" s="28"/>
      <c r="H400" s="29"/>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9"/>
      <c r="C401" s="28"/>
      <c r="D401" s="28"/>
      <c r="E401" s="28"/>
      <c r="F401" s="28"/>
      <c r="G401" s="28"/>
      <c r="H401" s="29"/>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9"/>
      <c r="C402" s="28"/>
      <c r="D402" s="28"/>
      <c r="E402" s="28"/>
      <c r="F402" s="28"/>
      <c r="G402" s="28"/>
      <c r="H402" s="29"/>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9"/>
      <c r="C403" s="28"/>
      <c r="D403" s="28"/>
      <c r="E403" s="28"/>
      <c r="F403" s="28"/>
      <c r="G403" s="28"/>
      <c r="H403" s="29"/>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9"/>
      <c r="C404" s="28"/>
      <c r="D404" s="28"/>
      <c r="E404" s="28"/>
      <c r="F404" s="28"/>
      <c r="G404" s="28"/>
      <c r="H404" s="29"/>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9"/>
      <c r="C405" s="28"/>
      <c r="D405" s="28"/>
      <c r="E405" s="28"/>
      <c r="F405" s="28"/>
      <c r="G405" s="28"/>
      <c r="H405" s="29"/>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9"/>
      <c r="C406" s="28"/>
      <c r="D406" s="28"/>
      <c r="E406" s="28"/>
      <c r="F406" s="28"/>
      <c r="G406" s="28"/>
      <c r="H406" s="29"/>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9"/>
      <c r="C407" s="28"/>
      <c r="D407" s="28"/>
      <c r="E407" s="28"/>
      <c r="F407" s="28"/>
      <c r="G407" s="28"/>
      <c r="H407" s="29"/>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9"/>
      <c r="C408" s="28"/>
      <c r="D408" s="28"/>
      <c r="E408" s="28"/>
      <c r="F408" s="28"/>
      <c r="G408" s="28"/>
      <c r="H408" s="29"/>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9"/>
      <c r="C409" s="28"/>
      <c r="D409" s="28"/>
      <c r="E409" s="28"/>
      <c r="F409" s="28"/>
      <c r="G409" s="28"/>
      <c r="H409" s="29"/>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9"/>
      <c r="C410" s="28"/>
      <c r="D410" s="28"/>
      <c r="E410" s="28"/>
      <c r="F410" s="28"/>
      <c r="G410" s="28"/>
      <c r="H410" s="29"/>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9"/>
      <c r="C411" s="28"/>
      <c r="D411" s="28"/>
      <c r="E411" s="28"/>
      <c r="F411" s="28"/>
      <c r="G411" s="28"/>
      <c r="H411" s="29"/>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9"/>
      <c r="C412" s="28"/>
      <c r="D412" s="28"/>
      <c r="E412" s="28"/>
      <c r="F412" s="28"/>
      <c r="G412" s="28"/>
      <c r="H412" s="29"/>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9"/>
      <c r="C413" s="28"/>
      <c r="D413" s="28"/>
      <c r="E413" s="28"/>
      <c r="F413" s="28"/>
      <c r="G413" s="28"/>
      <c r="H413" s="29"/>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9"/>
      <c r="C414" s="28"/>
      <c r="D414" s="28"/>
      <c r="E414" s="28"/>
      <c r="F414" s="28"/>
      <c r="G414" s="28"/>
      <c r="H414" s="29"/>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9"/>
      <c r="C415" s="28"/>
      <c r="D415" s="28"/>
      <c r="E415" s="28"/>
      <c r="F415" s="28"/>
      <c r="G415" s="28"/>
      <c r="H415" s="29"/>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9"/>
      <c r="C416" s="28"/>
      <c r="D416" s="28"/>
      <c r="E416" s="28"/>
      <c r="F416" s="28"/>
      <c r="G416" s="28"/>
      <c r="H416" s="29"/>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9"/>
      <c r="C417" s="28"/>
      <c r="D417" s="28"/>
      <c r="E417" s="28"/>
      <c r="F417" s="28"/>
      <c r="G417" s="28"/>
      <c r="H417" s="29"/>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9"/>
      <c r="C418" s="28"/>
      <c r="D418" s="28"/>
      <c r="E418" s="28"/>
      <c r="F418" s="28"/>
      <c r="G418" s="28"/>
      <c r="H418" s="29"/>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9"/>
      <c r="C419" s="28"/>
      <c r="D419" s="28"/>
      <c r="E419" s="28"/>
      <c r="F419" s="28"/>
      <c r="G419" s="28"/>
      <c r="H419" s="29"/>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9"/>
      <c r="C420" s="28"/>
      <c r="D420" s="28"/>
      <c r="E420" s="28"/>
      <c r="F420" s="28"/>
      <c r="G420" s="28"/>
      <c r="H420" s="29"/>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9"/>
      <c r="C421" s="28"/>
      <c r="D421" s="28"/>
      <c r="E421" s="28"/>
      <c r="F421" s="28"/>
      <c r="G421" s="28"/>
      <c r="H421" s="29"/>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9"/>
      <c r="C422" s="28"/>
      <c r="D422" s="28"/>
      <c r="E422" s="28"/>
      <c r="F422" s="28"/>
      <c r="G422" s="28"/>
      <c r="H422" s="29"/>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9"/>
      <c r="C423" s="28"/>
      <c r="D423" s="28"/>
      <c r="E423" s="28"/>
      <c r="F423" s="28"/>
      <c r="G423" s="28"/>
      <c r="H423" s="29"/>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9"/>
      <c r="C424" s="28"/>
      <c r="D424" s="28"/>
      <c r="E424" s="28"/>
      <c r="F424" s="28"/>
      <c r="G424" s="28"/>
      <c r="H424" s="29"/>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9"/>
      <c r="C425" s="28"/>
      <c r="D425" s="28"/>
      <c r="E425" s="28"/>
      <c r="F425" s="28"/>
      <c r="G425" s="28"/>
      <c r="H425" s="29"/>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9"/>
      <c r="C426" s="28"/>
      <c r="D426" s="28"/>
      <c r="E426" s="28"/>
      <c r="F426" s="28"/>
      <c r="G426" s="28"/>
      <c r="H426" s="29"/>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9"/>
      <c r="C427" s="28"/>
      <c r="D427" s="28"/>
      <c r="E427" s="28"/>
      <c r="F427" s="28"/>
      <c r="G427" s="28"/>
      <c r="H427" s="29"/>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9"/>
      <c r="C428" s="28"/>
      <c r="D428" s="28"/>
      <c r="E428" s="28"/>
      <c r="F428" s="28"/>
      <c r="G428" s="28"/>
      <c r="H428" s="29"/>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9"/>
      <c r="C429" s="28"/>
      <c r="D429" s="28"/>
      <c r="E429" s="28"/>
      <c r="F429" s="28"/>
      <c r="G429" s="28"/>
      <c r="H429" s="29"/>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9"/>
      <c r="C430" s="28"/>
      <c r="D430" s="28"/>
      <c r="E430" s="28"/>
      <c r="F430" s="28"/>
      <c r="G430" s="28"/>
      <c r="H430" s="29"/>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9"/>
      <c r="C431" s="28"/>
      <c r="D431" s="28"/>
      <c r="E431" s="28"/>
      <c r="F431" s="28"/>
      <c r="G431" s="28"/>
      <c r="H431" s="29"/>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9"/>
      <c r="C432" s="28"/>
      <c r="D432" s="28"/>
      <c r="E432" s="28"/>
      <c r="F432" s="28"/>
      <c r="G432" s="28"/>
      <c r="H432" s="29"/>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9"/>
      <c r="C433" s="28"/>
      <c r="D433" s="28"/>
      <c r="E433" s="28"/>
      <c r="F433" s="28"/>
      <c r="G433" s="28"/>
      <c r="H433" s="29"/>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9"/>
      <c r="C434" s="28"/>
      <c r="D434" s="28"/>
      <c r="E434" s="28"/>
      <c r="F434" s="28"/>
      <c r="G434" s="28"/>
      <c r="H434" s="29"/>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9"/>
      <c r="C435" s="28"/>
      <c r="D435" s="28"/>
      <c r="E435" s="28"/>
      <c r="F435" s="28"/>
      <c r="G435" s="28"/>
      <c r="H435" s="29"/>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9"/>
      <c r="C436" s="28"/>
      <c r="D436" s="28"/>
      <c r="E436" s="28"/>
      <c r="F436" s="28"/>
      <c r="G436" s="28"/>
      <c r="H436" s="29"/>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9"/>
      <c r="C437" s="28"/>
      <c r="D437" s="28"/>
      <c r="E437" s="28"/>
      <c r="F437" s="28"/>
      <c r="G437" s="28"/>
      <c r="H437" s="29"/>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9"/>
      <c r="C438" s="28"/>
      <c r="D438" s="28"/>
      <c r="E438" s="28"/>
      <c r="F438" s="28"/>
      <c r="G438" s="28"/>
      <c r="H438" s="29"/>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9"/>
      <c r="C439" s="28"/>
      <c r="D439" s="28"/>
      <c r="E439" s="28"/>
      <c r="F439" s="28"/>
      <c r="G439" s="28"/>
      <c r="H439" s="29"/>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9"/>
      <c r="C440" s="28"/>
      <c r="D440" s="28"/>
      <c r="E440" s="28"/>
      <c r="F440" s="28"/>
      <c r="G440" s="28"/>
      <c r="H440" s="29"/>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9"/>
      <c r="C441" s="28"/>
      <c r="D441" s="28"/>
      <c r="E441" s="28"/>
      <c r="F441" s="28"/>
      <c r="G441" s="28"/>
      <c r="H441" s="29"/>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9"/>
      <c r="C442" s="28"/>
      <c r="D442" s="28"/>
      <c r="E442" s="28"/>
      <c r="F442" s="28"/>
      <c r="G442" s="28"/>
      <c r="H442" s="29"/>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9"/>
      <c r="C443" s="28"/>
      <c r="D443" s="28"/>
      <c r="E443" s="28"/>
      <c r="F443" s="28"/>
      <c r="G443" s="28"/>
      <c r="H443" s="29"/>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9"/>
      <c r="C444" s="28"/>
      <c r="D444" s="28"/>
      <c r="E444" s="28"/>
      <c r="F444" s="28"/>
      <c r="G444" s="28"/>
      <c r="H444" s="29"/>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9"/>
      <c r="C445" s="28"/>
      <c r="D445" s="28"/>
      <c r="E445" s="28"/>
      <c r="F445" s="28"/>
      <c r="G445" s="28"/>
      <c r="H445" s="29"/>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9"/>
      <c r="C446" s="28"/>
      <c r="D446" s="28"/>
      <c r="E446" s="28"/>
      <c r="F446" s="28"/>
      <c r="G446" s="28"/>
      <c r="H446" s="29"/>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9"/>
      <c r="C447" s="28"/>
      <c r="D447" s="28"/>
      <c r="E447" s="28"/>
      <c r="F447" s="28"/>
      <c r="G447" s="28"/>
      <c r="H447" s="29"/>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9"/>
      <c r="C448" s="28"/>
      <c r="D448" s="28"/>
      <c r="E448" s="28"/>
      <c r="F448" s="28"/>
      <c r="G448" s="28"/>
      <c r="H448" s="29"/>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9"/>
      <c r="C449" s="28"/>
      <c r="D449" s="28"/>
      <c r="E449" s="28"/>
      <c r="F449" s="28"/>
      <c r="G449" s="28"/>
      <c r="H449" s="29"/>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9"/>
      <c r="C450" s="28"/>
      <c r="D450" s="28"/>
      <c r="E450" s="28"/>
      <c r="F450" s="28"/>
      <c r="G450" s="28"/>
      <c r="H450" s="29"/>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9"/>
      <c r="C451" s="28"/>
      <c r="D451" s="28"/>
      <c r="E451" s="28"/>
      <c r="F451" s="28"/>
      <c r="G451" s="28"/>
      <c r="H451" s="29"/>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9"/>
      <c r="C452" s="28"/>
      <c r="D452" s="28"/>
      <c r="E452" s="28"/>
      <c r="F452" s="28"/>
      <c r="G452" s="28"/>
      <c r="H452" s="29"/>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9"/>
      <c r="C453" s="28"/>
      <c r="D453" s="28"/>
      <c r="E453" s="28"/>
      <c r="F453" s="28"/>
      <c r="G453" s="28"/>
      <c r="H453" s="29"/>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9"/>
      <c r="C454" s="28"/>
      <c r="D454" s="28"/>
      <c r="E454" s="28"/>
      <c r="F454" s="28"/>
      <c r="G454" s="28"/>
      <c r="H454" s="29"/>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9"/>
      <c r="C455" s="28"/>
      <c r="D455" s="28"/>
      <c r="E455" s="28"/>
      <c r="F455" s="28"/>
      <c r="G455" s="28"/>
      <c r="H455" s="29"/>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9"/>
      <c r="C456" s="28"/>
      <c r="D456" s="28"/>
      <c r="E456" s="28"/>
      <c r="F456" s="28"/>
      <c r="G456" s="28"/>
      <c r="H456" s="29"/>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9"/>
      <c r="C457" s="28"/>
      <c r="D457" s="28"/>
      <c r="E457" s="28"/>
      <c r="F457" s="28"/>
      <c r="G457" s="28"/>
      <c r="H457" s="29"/>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9"/>
      <c r="C458" s="28"/>
      <c r="D458" s="28"/>
      <c r="E458" s="28"/>
      <c r="F458" s="28"/>
      <c r="G458" s="28"/>
      <c r="H458" s="29"/>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9"/>
      <c r="C459" s="28"/>
      <c r="D459" s="28"/>
      <c r="E459" s="28"/>
      <c r="F459" s="28"/>
      <c r="G459" s="28"/>
      <c r="H459" s="29"/>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9"/>
      <c r="C460" s="28"/>
      <c r="D460" s="28"/>
      <c r="E460" s="28"/>
      <c r="F460" s="28"/>
      <c r="G460" s="28"/>
      <c r="H460" s="29"/>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9"/>
      <c r="C461" s="28"/>
      <c r="D461" s="28"/>
      <c r="E461" s="28"/>
      <c r="F461" s="28"/>
      <c r="G461" s="28"/>
      <c r="H461" s="29"/>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9"/>
      <c r="C462" s="28"/>
      <c r="D462" s="28"/>
      <c r="E462" s="28"/>
      <c r="F462" s="28"/>
      <c r="G462" s="28"/>
      <c r="H462" s="29"/>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9"/>
      <c r="C463" s="28"/>
      <c r="D463" s="28"/>
      <c r="E463" s="28"/>
      <c r="F463" s="28"/>
      <c r="G463" s="28"/>
      <c r="H463" s="29"/>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9"/>
      <c r="C464" s="28"/>
      <c r="D464" s="28"/>
      <c r="E464" s="28"/>
      <c r="F464" s="28"/>
      <c r="G464" s="28"/>
      <c r="H464" s="29"/>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9"/>
      <c r="C465" s="28"/>
      <c r="D465" s="28"/>
      <c r="E465" s="28"/>
      <c r="F465" s="28"/>
      <c r="G465" s="28"/>
      <c r="H465" s="29"/>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9"/>
      <c r="C466" s="28"/>
      <c r="D466" s="28"/>
      <c r="E466" s="28"/>
      <c r="F466" s="28"/>
      <c r="G466" s="28"/>
      <c r="H466" s="29"/>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9"/>
      <c r="C467" s="28"/>
      <c r="D467" s="28"/>
      <c r="E467" s="28"/>
      <c r="F467" s="28"/>
      <c r="G467" s="28"/>
      <c r="H467" s="29"/>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9"/>
      <c r="C468" s="28"/>
      <c r="D468" s="28"/>
      <c r="E468" s="28"/>
      <c r="F468" s="28"/>
      <c r="G468" s="28"/>
      <c r="H468" s="29"/>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9"/>
      <c r="C469" s="28"/>
      <c r="D469" s="28"/>
      <c r="E469" s="28"/>
      <c r="F469" s="28"/>
      <c r="G469" s="28"/>
      <c r="H469" s="29"/>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9"/>
      <c r="C470" s="28"/>
      <c r="D470" s="28"/>
      <c r="E470" s="28"/>
      <c r="F470" s="28"/>
      <c r="G470" s="28"/>
      <c r="H470" s="29"/>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9"/>
      <c r="C471" s="28"/>
      <c r="D471" s="28"/>
      <c r="E471" s="28"/>
      <c r="F471" s="28"/>
      <c r="G471" s="28"/>
      <c r="H471" s="29"/>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9"/>
      <c r="C472" s="28"/>
      <c r="D472" s="28"/>
      <c r="E472" s="28"/>
      <c r="F472" s="28"/>
      <c r="G472" s="28"/>
      <c r="H472" s="29"/>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9"/>
      <c r="C473" s="28"/>
      <c r="D473" s="28"/>
      <c r="E473" s="28"/>
      <c r="F473" s="28"/>
      <c r="G473" s="28"/>
      <c r="H473" s="29"/>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9"/>
      <c r="C474" s="28"/>
      <c r="D474" s="28"/>
      <c r="E474" s="28"/>
      <c r="F474" s="28"/>
      <c r="G474" s="28"/>
      <c r="H474" s="29"/>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9"/>
      <c r="C475" s="28"/>
      <c r="D475" s="28"/>
      <c r="E475" s="28"/>
      <c r="F475" s="28"/>
      <c r="G475" s="28"/>
      <c r="H475" s="29"/>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9"/>
      <c r="C476" s="28"/>
      <c r="D476" s="28"/>
      <c r="E476" s="28"/>
      <c r="F476" s="28"/>
      <c r="G476" s="28"/>
      <c r="H476" s="29"/>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9"/>
      <c r="C477" s="28"/>
      <c r="D477" s="28"/>
      <c r="E477" s="28"/>
      <c r="F477" s="28"/>
      <c r="G477" s="28"/>
      <c r="H477" s="29"/>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9"/>
      <c r="C478" s="28"/>
      <c r="D478" s="28"/>
      <c r="E478" s="28"/>
      <c r="F478" s="28"/>
      <c r="G478" s="28"/>
      <c r="H478" s="29"/>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9"/>
      <c r="C479" s="28"/>
      <c r="D479" s="28"/>
      <c r="E479" s="28"/>
      <c r="F479" s="28"/>
      <c r="G479" s="28"/>
      <c r="H479" s="29"/>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9"/>
      <c r="C480" s="28"/>
      <c r="D480" s="28"/>
      <c r="E480" s="28"/>
      <c r="F480" s="28"/>
      <c r="G480" s="28"/>
      <c r="H480" s="29"/>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9"/>
      <c r="C481" s="28"/>
      <c r="D481" s="28"/>
      <c r="E481" s="28"/>
      <c r="F481" s="28"/>
      <c r="G481" s="28"/>
      <c r="H481" s="29"/>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9"/>
      <c r="C482" s="28"/>
      <c r="D482" s="28"/>
      <c r="E482" s="28"/>
      <c r="F482" s="28"/>
      <c r="G482" s="28"/>
      <c r="H482" s="29"/>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9"/>
      <c r="C483" s="28"/>
      <c r="D483" s="28"/>
      <c r="E483" s="28"/>
      <c r="F483" s="28"/>
      <c r="G483" s="28"/>
      <c r="H483" s="29"/>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9"/>
      <c r="C484" s="28"/>
      <c r="D484" s="28"/>
      <c r="E484" s="28"/>
      <c r="F484" s="28"/>
      <c r="G484" s="28"/>
      <c r="H484" s="29"/>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9"/>
      <c r="C485" s="28"/>
      <c r="D485" s="28"/>
      <c r="E485" s="28"/>
      <c r="F485" s="28"/>
      <c r="G485" s="28"/>
      <c r="H485" s="29"/>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9"/>
      <c r="C486" s="28"/>
      <c r="D486" s="28"/>
      <c r="E486" s="28"/>
      <c r="F486" s="28"/>
      <c r="G486" s="28"/>
      <c r="H486" s="29"/>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9"/>
      <c r="C487" s="28"/>
      <c r="D487" s="28"/>
      <c r="E487" s="28"/>
      <c r="F487" s="28"/>
      <c r="G487" s="28"/>
      <c r="H487" s="29"/>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9"/>
      <c r="C488" s="28"/>
      <c r="D488" s="28"/>
      <c r="E488" s="28"/>
      <c r="F488" s="28"/>
      <c r="G488" s="28"/>
      <c r="H488" s="29"/>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9"/>
      <c r="C489" s="28"/>
      <c r="D489" s="28"/>
      <c r="E489" s="28"/>
      <c r="F489" s="28"/>
      <c r="G489" s="28"/>
      <c r="H489" s="29"/>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9"/>
      <c r="C490" s="28"/>
      <c r="D490" s="28"/>
      <c r="E490" s="28"/>
      <c r="F490" s="28"/>
      <c r="G490" s="28"/>
      <c r="H490" s="29"/>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9"/>
      <c r="C491" s="28"/>
      <c r="D491" s="28"/>
      <c r="E491" s="28"/>
      <c r="F491" s="28"/>
      <c r="G491" s="28"/>
      <c r="H491" s="29"/>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9"/>
      <c r="C492" s="28"/>
      <c r="D492" s="28"/>
      <c r="E492" s="28"/>
      <c r="F492" s="28"/>
      <c r="G492" s="28"/>
      <c r="H492" s="29"/>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9"/>
      <c r="C493" s="28"/>
      <c r="D493" s="28"/>
      <c r="E493" s="28"/>
      <c r="F493" s="28"/>
      <c r="G493" s="28"/>
      <c r="H493" s="29"/>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9"/>
      <c r="C494" s="28"/>
      <c r="D494" s="28"/>
      <c r="E494" s="28"/>
      <c r="F494" s="28"/>
      <c r="G494" s="28"/>
      <c r="H494" s="29"/>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9"/>
      <c r="C495" s="28"/>
      <c r="D495" s="28"/>
      <c r="E495" s="28"/>
      <c r="F495" s="28"/>
      <c r="G495" s="28"/>
      <c r="H495" s="29"/>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9"/>
      <c r="C496" s="28"/>
      <c r="D496" s="28"/>
      <c r="E496" s="28"/>
      <c r="F496" s="28"/>
      <c r="G496" s="28"/>
      <c r="H496" s="29"/>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9"/>
      <c r="C497" s="28"/>
      <c r="D497" s="28"/>
      <c r="E497" s="28"/>
      <c r="F497" s="28"/>
      <c r="G497" s="28"/>
      <c r="H497" s="29"/>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9"/>
      <c r="C498" s="28"/>
      <c r="D498" s="28"/>
      <c r="E498" s="28"/>
      <c r="F498" s="28"/>
      <c r="G498" s="28"/>
      <c r="H498" s="29"/>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9"/>
      <c r="C499" s="28"/>
      <c r="D499" s="28"/>
      <c r="E499" s="28"/>
      <c r="F499" s="28"/>
      <c r="G499" s="28"/>
      <c r="H499" s="29"/>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9"/>
      <c r="C500" s="28"/>
      <c r="D500" s="28"/>
      <c r="E500" s="28"/>
      <c r="F500" s="28"/>
      <c r="G500" s="28"/>
      <c r="H500" s="29"/>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9"/>
      <c r="C501" s="28"/>
      <c r="D501" s="28"/>
      <c r="E501" s="28"/>
      <c r="F501" s="28"/>
      <c r="G501" s="28"/>
      <c r="H501" s="29"/>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9"/>
      <c r="C502" s="28"/>
      <c r="D502" s="28"/>
      <c r="E502" s="28"/>
      <c r="F502" s="28"/>
      <c r="G502" s="28"/>
      <c r="H502" s="29"/>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9"/>
      <c r="C503" s="28"/>
      <c r="D503" s="28"/>
      <c r="E503" s="28"/>
      <c r="F503" s="28"/>
      <c r="G503" s="28"/>
      <c r="H503" s="29"/>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9"/>
      <c r="C504" s="28"/>
      <c r="D504" s="28"/>
      <c r="E504" s="28"/>
      <c r="F504" s="28"/>
      <c r="G504" s="28"/>
      <c r="H504" s="29"/>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9"/>
      <c r="C505" s="28"/>
      <c r="D505" s="28"/>
      <c r="E505" s="28"/>
      <c r="F505" s="28"/>
      <c r="G505" s="28"/>
      <c r="H505" s="29"/>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9"/>
      <c r="C506" s="28"/>
      <c r="D506" s="28"/>
      <c r="E506" s="28"/>
      <c r="F506" s="28"/>
      <c r="G506" s="28"/>
      <c r="H506" s="29"/>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9"/>
      <c r="C507" s="28"/>
      <c r="D507" s="28"/>
      <c r="E507" s="28"/>
      <c r="F507" s="28"/>
      <c r="G507" s="28"/>
      <c r="H507" s="29"/>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9"/>
      <c r="C508" s="28"/>
      <c r="D508" s="28"/>
      <c r="E508" s="28"/>
      <c r="F508" s="28"/>
      <c r="G508" s="28"/>
      <c r="H508" s="29"/>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9"/>
      <c r="C509" s="28"/>
      <c r="D509" s="28"/>
      <c r="E509" s="28"/>
      <c r="F509" s="28"/>
      <c r="G509" s="28"/>
      <c r="H509" s="29"/>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9"/>
      <c r="C510" s="28"/>
      <c r="D510" s="28"/>
      <c r="E510" s="28"/>
      <c r="F510" s="28"/>
      <c r="G510" s="28"/>
      <c r="H510" s="29"/>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9"/>
      <c r="C511" s="28"/>
      <c r="D511" s="28"/>
      <c r="E511" s="28"/>
      <c r="F511" s="28"/>
      <c r="G511" s="28"/>
      <c r="H511" s="29"/>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9"/>
      <c r="C512" s="28"/>
      <c r="D512" s="28"/>
      <c r="E512" s="28"/>
      <c r="F512" s="28"/>
      <c r="G512" s="28"/>
      <c r="H512" s="29"/>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9"/>
      <c r="C513" s="28"/>
      <c r="D513" s="28"/>
      <c r="E513" s="28"/>
      <c r="F513" s="28"/>
      <c r="G513" s="28"/>
      <c r="H513" s="29"/>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9"/>
      <c r="C514" s="28"/>
      <c r="D514" s="28"/>
      <c r="E514" s="28"/>
      <c r="F514" s="28"/>
      <c r="G514" s="28"/>
      <c r="H514" s="29"/>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9"/>
      <c r="C515" s="28"/>
      <c r="D515" s="28"/>
      <c r="E515" s="28"/>
      <c r="F515" s="28"/>
      <c r="G515" s="28"/>
      <c r="H515" s="29"/>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9"/>
      <c r="C516" s="28"/>
      <c r="D516" s="28"/>
      <c r="E516" s="28"/>
      <c r="F516" s="28"/>
      <c r="G516" s="28"/>
      <c r="H516" s="29"/>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9"/>
      <c r="C517" s="28"/>
      <c r="D517" s="28"/>
      <c r="E517" s="28"/>
      <c r="F517" s="28"/>
      <c r="G517" s="28"/>
      <c r="H517" s="29"/>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9"/>
      <c r="C518" s="28"/>
      <c r="D518" s="28"/>
      <c r="E518" s="28"/>
      <c r="F518" s="28"/>
      <c r="G518" s="28"/>
      <c r="H518" s="29"/>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9"/>
      <c r="C519" s="28"/>
      <c r="D519" s="28"/>
      <c r="E519" s="28"/>
      <c r="F519" s="28"/>
      <c r="G519" s="28"/>
      <c r="H519" s="29"/>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9"/>
      <c r="C520" s="28"/>
      <c r="D520" s="28"/>
      <c r="E520" s="28"/>
      <c r="F520" s="28"/>
      <c r="G520" s="28"/>
      <c r="H520" s="29"/>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9"/>
      <c r="C521" s="28"/>
      <c r="D521" s="28"/>
      <c r="E521" s="28"/>
      <c r="F521" s="28"/>
      <c r="G521" s="28"/>
      <c r="H521" s="29"/>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9"/>
      <c r="C522" s="28"/>
      <c r="D522" s="28"/>
      <c r="E522" s="28"/>
      <c r="F522" s="28"/>
      <c r="G522" s="28"/>
      <c r="H522" s="29"/>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9"/>
      <c r="C523" s="28"/>
      <c r="D523" s="28"/>
      <c r="E523" s="28"/>
      <c r="F523" s="28"/>
      <c r="G523" s="28"/>
      <c r="H523" s="29"/>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9"/>
      <c r="C524" s="28"/>
      <c r="D524" s="28"/>
      <c r="E524" s="28"/>
      <c r="F524" s="28"/>
      <c r="G524" s="28"/>
      <c r="H524" s="29"/>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9"/>
      <c r="C525" s="28"/>
      <c r="D525" s="28"/>
      <c r="E525" s="28"/>
      <c r="F525" s="28"/>
      <c r="G525" s="28"/>
      <c r="H525" s="29"/>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9"/>
      <c r="C526" s="28"/>
      <c r="D526" s="28"/>
      <c r="E526" s="28"/>
      <c r="F526" s="28"/>
      <c r="G526" s="28"/>
      <c r="H526" s="29"/>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9"/>
      <c r="C527" s="28"/>
      <c r="D527" s="28"/>
      <c r="E527" s="28"/>
      <c r="F527" s="28"/>
      <c r="G527" s="28"/>
      <c r="H527" s="29"/>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9"/>
      <c r="C528" s="28"/>
      <c r="D528" s="28"/>
      <c r="E528" s="28"/>
      <c r="F528" s="28"/>
      <c r="G528" s="28"/>
      <c r="H528" s="29"/>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9"/>
      <c r="C529" s="28"/>
      <c r="D529" s="28"/>
      <c r="E529" s="28"/>
      <c r="F529" s="28"/>
      <c r="G529" s="28"/>
      <c r="H529" s="29"/>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9"/>
      <c r="C530" s="28"/>
      <c r="D530" s="28"/>
      <c r="E530" s="28"/>
      <c r="F530" s="28"/>
      <c r="G530" s="28"/>
      <c r="H530" s="29"/>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9"/>
      <c r="C531" s="28"/>
      <c r="D531" s="28"/>
      <c r="E531" s="28"/>
      <c r="F531" s="28"/>
      <c r="G531" s="28"/>
      <c r="H531" s="29"/>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9"/>
      <c r="C532" s="28"/>
      <c r="D532" s="28"/>
      <c r="E532" s="28"/>
      <c r="F532" s="28"/>
      <c r="G532" s="28"/>
      <c r="H532" s="29"/>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9"/>
      <c r="C533" s="28"/>
      <c r="D533" s="28"/>
      <c r="E533" s="28"/>
      <c r="F533" s="28"/>
      <c r="G533" s="28"/>
      <c r="H533" s="29"/>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9"/>
      <c r="C534" s="28"/>
      <c r="D534" s="28"/>
      <c r="E534" s="28"/>
      <c r="F534" s="28"/>
      <c r="G534" s="28"/>
      <c r="H534" s="29"/>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9"/>
      <c r="C535" s="28"/>
      <c r="D535" s="28"/>
      <c r="E535" s="28"/>
      <c r="F535" s="28"/>
      <c r="G535" s="28"/>
      <c r="H535" s="29"/>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9"/>
      <c r="C536" s="28"/>
      <c r="D536" s="28"/>
      <c r="E536" s="28"/>
      <c r="F536" s="28"/>
      <c r="G536" s="28"/>
      <c r="H536" s="29"/>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9"/>
      <c r="C537" s="28"/>
      <c r="D537" s="28"/>
      <c r="E537" s="28"/>
      <c r="F537" s="28"/>
      <c r="G537" s="28"/>
      <c r="H537" s="29"/>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9"/>
      <c r="C538" s="28"/>
      <c r="D538" s="28"/>
      <c r="E538" s="28"/>
      <c r="F538" s="28"/>
      <c r="G538" s="28"/>
      <c r="H538" s="29"/>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9"/>
      <c r="C539" s="28"/>
      <c r="D539" s="28"/>
      <c r="E539" s="28"/>
      <c r="F539" s="28"/>
      <c r="G539" s="28"/>
      <c r="H539" s="29"/>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9"/>
      <c r="C540" s="28"/>
      <c r="D540" s="28"/>
      <c r="E540" s="28"/>
      <c r="F540" s="28"/>
      <c r="G540" s="28"/>
      <c r="H540" s="29"/>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9"/>
      <c r="C541" s="28"/>
      <c r="D541" s="28"/>
      <c r="E541" s="28"/>
      <c r="F541" s="28"/>
      <c r="G541" s="28"/>
      <c r="H541" s="29"/>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9"/>
      <c r="C542" s="28"/>
      <c r="D542" s="28"/>
      <c r="E542" s="28"/>
      <c r="F542" s="28"/>
      <c r="G542" s="28"/>
      <c r="H542" s="29"/>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9"/>
      <c r="C543" s="28"/>
      <c r="D543" s="28"/>
      <c r="E543" s="28"/>
      <c r="F543" s="28"/>
      <c r="G543" s="28"/>
      <c r="H543" s="29"/>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9"/>
      <c r="C544" s="28"/>
      <c r="D544" s="28"/>
      <c r="E544" s="28"/>
      <c r="F544" s="28"/>
      <c r="G544" s="28"/>
      <c r="H544" s="29"/>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9"/>
      <c r="C545" s="28"/>
      <c r="D545" s="28"/>
      <c r="E545" s="28"/>
      <c r="F545" s="28"/>
      <c r="G545" s="28"/>
      <c r="H545" s="29"/>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9"/>
      <c r="C546" s="28"/>
      <c r="D546" s="28"/>
      <c r="E546" s="28"/>
      <c r="F546" s="28"/>
      <c r="G546" s="28"/>
      <c r="H546" s="29"/>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9"/>
      <c r="C547" s="28"/>
      <c r="D547" s="28"/>
      <c r="E547" s="28"/>
      <c r="F547" s="28"/>
      <c r="G547" s="28"/>
      <c r="H547" s="29"/>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9"/>
      <c r="C548" s="28"/>
      <c r="D548" s="28"/>
      <c r="E548" s="28"/>
      <c r="F548" s="28"/>
      <c r="G548" s="28"/>
      <c r="H548" s="29"/>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9"/>
      <c r="C549" s="28"/>
      <c r="D549" s="28"/>
      <c r="E549" s="28"/>
      <c r="F549" s="28"/>
      <c r="G549" s="28"/>
      <c r="H549" s="29"/>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9"/>
      <c r="C550" s="28"/>
      <c r="D550" s="28"/>
      <c r="E550" s="28"/>
      <c r="F550" s="28"/>
      <c r="G550" s="28"/>
      <c r="H550" s="29"/>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9"/>
      <c r="C551" s="28"/>
      <c r="D551" s="28"/>
      <c r="E551" s="28"/>
      <c r="F551" s="28"/>
      <c r="G551" s="28"/>
      <c r="H551" s="29"/>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9"/>
      <c r="C552" s="28"/>
      <c r="D552" s="28"/>
      <c r="E552" s="28"/>
      <c r="F552" s="28"/>
      <c r="G552" s="28"/>
      <c r="H552" s="29"/>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9"/>
      <c r="C553" s="28"/>
      <c r="D553" s="28"/>
      <c r="E553" s="28"/>
      <c r="F553" s="28"/>
      <c r="G553" s="28"/>
      <c r="H553" s="29"/>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9"/>
      <c r="C554" s="28"/>
      <c r="D554" s="28"/>
      <c r="E554" s="28"/>
      <c r="F554" s="28"/>
      <c r="G554" s="28"/>
      <c r="H554" s="29"/>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9"/>
      <c r="C555" s="28"/>
      <c r="D555" s="28"/>
      <c r="E555" s="28"/>
      <c r="F555" s="28"/>
      <c r="G555" s="28"/>
      <c r="H555" s="29"/>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9"/>
      <c r="C556" s="28"/>
      <c r="D556" s="28"/>
      <c r="E556" s="28"/>
      <c r="F556" s="28"/>
      <c r="G556" s="28"/>
      <c r="H556" s="29"/>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9"/>
      <c r="C557" s="28"/>
      <c r="D557" s="28"/>
      <c r="E557" s="28"/>
      <c r="F557" s="28"/>
      <c r="G557" s="28"/>
      <c r="H557" s="29"/>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9"/>
      <c r="C558" s="28"/>
      <c r="D558" s="28"/>
      <c r="E558" s="28"/>
      <c r="F558" s="28"/>
      <c r="G558" s="28"/>
      <c r="H558" s="29"/>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9"/>
      <c r="C559" s="28"/>
      <c r="D559" s="28"/>
      <c r="E559" s="28"/>
      <c r="F559" s="28"/>
      <c r="G559" s="28"/>
      <c r="H559" s="29"/>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9"/>
      <c r="C560" s="28"/>
      <c r="D560" s="28"/>
      <c r="E560" s="28"/>
      <c r="F560" s="28"/>
      <c r="G560" s="28"/>
      <c r="H560" s="29"/>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9"/>
      <c r="C561" s="28"/>
      <c r="D561" s="28"/>
      <c r="E561" s="28"/>
      <c r="F561" s="28"/>
      <c r="G561" s="28"/>
      <c r="H561" s="29"/>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9"/>
      <c r="C562" s="28"/>
      <c r="D562" s="28"/>
      <c r="E562" s="28"/>
      <c r="F562" s="28"/>
      <c r="G562" s="28"/>
      <c r="H562" s="29"/>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9"/>
      <c r="C563" s="28"/>
      <c r="D563" s="28"/>
      <c r="E563" s="28"/>
      <c r="F563" s="28"/>
      <c r="G563" s="28"/>
      <c r="H563" s="29"/>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9"/>
      <c r="C564" s="28"/>
      <c r="D564" s="28"/>
      <c r="E564" s="28"/>
      <c r="F564" s="28"/>
      <c r="G564" s="28"/>
      <c r="H564" s="29"/>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9"/>
      <c r="C565" s="28"/>
      <c r="D565" s="28"/>
      <c r="E565" s="28"/>
      <c r="F565" s="28"/>
      <c r="G565" s="28"/>
      <c r="H565" s="29"/>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9"/>
      <c r="C566" s="28"/>
      <c r="D566" s="28"/>
      <c r="E566" s="28"/>
      <c r="F566" s="28"/>
      <c r="G566" s="28"/>
      <c r="H566" s="29"/>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9"/>
      <c r="C567" s="28"/>
      <c r="D567" s="28"/>
      <c r="E567" s="28"/>
      <c r="F567" s="28"/>
      <c r="G567" s="28"/>
      <c r="H567" s="29"/>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9"/>
      <c r="C568" s="28"/>
      <c r="D568" s="28"/>
      <c r="E568" s="28"/>
      <c r="F568" s="28"/>
      <c r="G568" s="28"/>
      <c r="H568" s="29"/>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9"/>
      <c r="C569" s="28"/>
      <c r="D569" s="28"/>
      <c r="E569" s="28"/>
      <c r="F569" s="28"/>
      <c r="G569" s="28"/>
      <c r="H569" s="29"/>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9"/>
      <c r="C570" s="28"/>
      <c r="D570" s="28"/>
      <c r="E570" s="28"/>
      <c r="F570" s="28"/>
      <c r="G570" s="28"/>
      <c r="H570" s="29"/>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9"/>
      <c r="C571" s="28"/>
      <c r="D571" s="28"/>
      <c r="E571" s="28"/>
      <c r="F571" s="28"/>
      <c r="G571" s="28"/>
      <c r="H571" s="29"/>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9"/>
      <c r="C572" s="28"/>
      <c r="D572" s="28"/>
      <c r="E572" s="28"/>
      <c r="F572" s="28"/>
      <c r="G572" s="28"/>
      <c r="H572" s="29"/>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9"/>
      <c r="C573" s="28"/>
      <c r="D573" s="28"/>
      <c r="E573" s="28"/>
      <c r="F573" s="28"/>
      <c r="G573" s="28"/>
      <c r="H573" s="29"/>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9"/>
      <c r="C574" s="28"/>
      <c r="D574" s="28"/>
      <c r="E574" s="28"/>
      <c r="F574" s="28"/>
      <c r="G574" s="28"/>
      <c r="H574" s="29"/>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9"/>
      <c r="C575" s="28"/>
      <c r="D575" s="28"/>
      <c r="E575" s="28"/>
      <c r="F575" s="28"/>
      <c r="G575" s="28"/>
      <c r="H575" s="29"/>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9"/>
      <c r="C576" s="28"/>
      <c r="D576" s="28"/>
      <c r="E576" s="28"/>
      <c r="F576" s="28"/>
      <c r="G576" s="28"/>
      <c r="H576" s="29"/>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9"/>
      <c r="C577" s="28"/>
      <c r="D577" s="28"/>
      <c r="E577" s="28"/>
      <c r="F577" s="28"/>
      <c r="G577" s="28"/>
      <c r="H577" s="29"/>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9"/>
      <c r="C578" s="28"/>
      <c r="D578" s="28"/>
      <c r="E578" s="28"/>
      <c r="F578" s="28"/>
      <c r="G578" s="28"/>
      <c r="H578" s="29"/>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9"/>
      <c r="C579" s="28"/>
      <c r="D579" s="28"/>
      <c r="E579" s="28"/>
      <c r="F579" s="28"/>
      <c r="G579" s="28"/>
      <c r="H579" s="29"/>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9"/>
      <c r="C580" s="28"/>
      <c r="D580" s="28"/>
      <c r="E580" s="28"/>
      <c r="F580" s="28"/>
      <c r="G580" s="28"/>
      <c r="H580" s="29"/>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9"/>
      <c r="C581" s="28"/>
      <c r="D581" s="28"/>
      <c r="E581" s="28"/>
      <c r="F581" s="28"/>
      <c r="G581" s="28"/>
      <c r="H581" s="29"/>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9"/>
      <c r="C582" s="28"/>
      <c r="D582" s="28"/>
      <c r="E582" s="28"/>
      <c r="F582" s="28"/>
      <c r="G582" s="28"/>
      <c r="H582" s="29"/>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9"/>
      <c r="C583" s="28"/>
      <c r="D583" s="28"/>
      <c r="E583" s="28"/>
      <c r="F583" s="28"/>
      <c r="G583" s="28"/>
      <c r="H583" s="29"/>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9"/>
      <c r="C584" s="28"/>
      <c r="D584" s="28"/>
      <c r="E584" s="28"/>
      <c r="F584" s="28"/>
      <c r="G584" s="28"/>
      <c r="H584" s="29"/>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9"/>
      <c r="C585" s="28"/>
      <c r="D585" s="28"/>
      <c r="E585" s="28"/>
      <c r="F585" s="28"/>
      <c r="G585" s="28"/>
      <c r="H585" s="29"/>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9"/>
      <c r="C586" s="28"/>
      <c r="D586" s="28"/>
      <c r="E586" s="28"/>
      <c r="F586" s="28"/>
      <c r="G586" s="28"/>
      <c r="H586" s="29"/>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9"/>
      <c r="C587" s="28"/>
      <c r="D587" s="28"/>
      <c r="E587" s="28"/>
      <c r="F587" s="28"/>
      <c r="G587" s="28"/>
      <c r="H587" s="29"/>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9"/>
      <c r="C588" s="28"/>
      <c r="D588" s="28"/>
      <c r="E588" s="28"/>
      <c r="F588" s="28"/>
      <c r="G588" s="28"/>
      <c r="H588" s="29"/>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9"/>
      <c r="C589" s="28"/>
      <c r="D589" s="28"/>
      <c r="E589" s="28"/>
      <c r="F589" s="28"/>
      <c r="G589" s="28"/>
      <c r="H589" s="29"/>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9"/>
      <c r="C590" s="28"/>
      <c r="D590" s="28"/>
      <c r="E590" s="28"/>
      <c r="F590" s="28"/>
      <c r="G590" s="28"/>
      <c r="H590" s="29"/>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9"/>
      <c r="C591" s="28"/>
      <c r="D591" s="28"/>
      <c r="E591" s="28"/>
      <c r="F591" s="28"/>
      <c r="G591" s="28"/>
      <c r="H591" s="29"/>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9"/>
      <c r="C592" s="28"/>
      <c r="D592" s="28"/>
      <c r="E592" s="28"/>
      <c r="F592" s="28"/>
      <c r="G592" s="28"/>
      <c r="H592" s="29"/>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9"/>
      <c r="C593" s="28"/>
      <c r="D593" s="28"/>
      <c r="E593" s="28"/>
      <c r="F593" s="28"/>
      <c r="G593" s="28"/>
      <c r="H593" s="29"/>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9"/>
      <c r="C594" s="28"/>
      <c r="D594" s="28"/>
      <c r="E594" s="28"/>
      <c r="F594" s="28"/>
      <c r="G594" s="28"/>
      <c r="H594" s="29"/>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9"/>
      <c r="C595" s="28"/>
      <c r="D595" s="28"/>
      <c r="E595" s="28"/>
      <c r="F595" s="28"/>
      <c r="G595" s="28"/>
      <c r="H595" s="29"/>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9"/>
      <c r="C596" s="28"/>
      <c r="D596" s="28"/>
      <c r="E596" s="28"/>
      <c r="F596" s="28"/>
      <c r="G596" s="28"/>
      <c r="H596" s="29"/>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9"/>
      <c r="C597" s="28"/>
      <c r="D597" s="28"/>
      <c r="E597" s="28"/>
      <c r="F597" s="28"/>
      <c r="G597" s="28"/>
      <c r="H597" s="29"/>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9"/>
      <c r="C598" s="28"/>
      <c r="D598" s="28"/>
      <c r="E598" s="28"/>
      <c r="F598" s="28"/>
      <c r="G598" s="28"/>
      <c r="H598" s="29"/>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9"/>
      <c r="C599" s="28"/>
      <c r="D599" s="28"/>
      <c r="E599" s="28"/>
      <c r="F599" s="28"/>
      <c r="G599" s="28"/>
      <c r="H599" s="29"/>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9"/>
      <c r="C600" s="28"/>
      <c r="D600" s="28"/>
      <c r="E600" s="28"/>
      <c r="F600" s="28"/>
      <c r="G600" s="28"/>
      <c r="H600" s="29"/>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9"/>
      <c r="C601" s="28"/>
      <c r="D601" s="28"/>
      <c r="E601" s="28"/>
      <c r="F601" s="28"/>
      <c r="G601" s="28"/>
      <c r="H601" s="29"/>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9"/>
      <c r="C602" s="28"/>
      <c r="D602" s="28"/>
      <c r="E602" s="28"/>
      <c r="F602" s="28"/>
      <c r="G602" s="28"/>
      <c r="H602" s="29"/>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9"/>
      <c r="C603" s="28"/>
      <c r="D603" s="28"/>
      <c r="E603" s="28"/>
      <c r="F603" s="28"/>
      <c r="G603" s="28"/>
      <c r="H603" s="29"/>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9"/>
      <c r="C604" s="28"/>
      <c r="D604" s="28"/>
      <c r="E604" s="28"/>
      <c r="F604" s="28"/>
      <c r="G604" s="28"/>
      <c r="H604" s="29"/>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9"/>
      <c r="C605" s="28"/>
      <c r="D605" s="28"/>
      <c r="E605" s="28"/>
      <c r="F605" s="28"/>
      <c r="G605" s="28"/>
      <c r="H605" s="29"/>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9"/>
      <c r="C606" s="28"/>
      <c r="D606" s="28"/>
      <c r="E606" s="28"/>
      <c r="F606" s="28"/>
      <c r="G606" s="28"/>
      <c r="H606" s="29"/>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9"/>
      <c r="C607" s="28"/>
      <c r="D607" s="28"/>
      <c r="E607" s="28"/>
      <c r="F607" s="28"/>
      <c r="G607" s="28"/>
      <c r="H607" s="29"/>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9"/>
      <c r="C608" s="28"/>
      <c r="D608" s="28"/>
      <c r="E608" s="28"/>
      <c r="F608" s="28"/>
      <c r="G608" s="28"/>
      <c r="H608" s="29"/>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9"/>
      <c r="C609" s="28"/>
      <c r="D609" s="28"/>
      <c r="E609" s="28"/>
      <c r="F609" s="28"/>
      <c r="G609" s="28"/>
      <c r="H609" s="29"/>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9"/>
      <c r="C610" s="28"/>
      <c r="D610" s="28"/>
      <c r="E610" s="28"/>
      <c r="F610" s="28"/>
      <c r="G610" s="28"/>
      <c r="H610" s="29"/>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9"/>
      <c r="C611" s="28"/>
      <c r="D611" s="28"/>
      <c r="E611" s="28"/>
      <c r="F611" s="28"/>
      <c r="G611" s="28"/>
      <c r="H611" s="29"/>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9"/>
      <c r="C612" s="28"/>
      <c r="D612" s="28"/>
      <c r="E612" s="28"/>
      <c r="F612" s="28"/>
      <c r="G612" s="28"/>
      <c r="H612" s="29"/>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9"/>
      <c r="C613" s="28"/>
      <c r="D613" s="28"/>
      <c r="E613" s="28"/>
      <c r="F613" s="28"/>
      <c r="G613" s="28"/>
      <c r="H613" s="29"/>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9"/>
      <c r="C614" s="28"/>
      <c r="D614" s="28"/>
      <c r="E614" s="28"/>
      <c r="F614" s="28"/>
      <c r="G614" s="28"/>
      <c r="H614" s="29"/>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9"/>
      <c r="C615" s="28"/>
      <c r="D615" s="28"/>
      <c r="E615" s="28"/>
      <c r="F615" s="28"/>
      <c r="G615" s="28"/>
      <c r="H615" s="29"/>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9"/>
      <c r="C616" s="28"/>
      <c r="D616" s="28"/>
      <c r="E616" s="28"/>
      <c r="F616" s="28"/>
      <c r="G616" s="28"/>
      <c r="H616" s="29"/>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9"/>
      <c r="C617" s="28"/>
      <c r="D617" s="28"/>
      <c r="E617" s="28"/>
      <c r="F617" s="28"/>
      <c r="G617" s="28"/>
      <c r="H617" s="29"/>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9"/>
      <c r="C618" s="28"/>
      <c r="D618" s="28"/>
      <c r="E618" s="28"/>
      <c r="F618" s="28"/>
      <c r="G618" s="28"/>
      <c r="H618" s="29"/>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9"/>
      <c r="C619" s="28"/>
      <c r="D619" s="28"/>
      <c r="E619" s="28"/>
      <c r="F619" s="28"/>
      <c r="G619" s="28"/>
      <c r="H619" s="29"/>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9"/>
      <c r="C620" s="28"/>
      <c r="D620" s="28"/>
      <c r="E620" s="28"/>
      <c r="F620" s="28"/>
      <c r="G620" s="28"/>
      <c r="H620" s="29"/>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9"/>
      <c r="C621" s="28"/>
      <c r="D621" s="28"/>
      <c r="E621" s="28"/>
      <c r="F621" s="28"/>
      <c r="G621" s="28"/>
      <c r="H621" s="29"/>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9"/>
      <c r="C622" s="28"/>
      <c r="D622" s="28"/>
      <c r="E622" s="28"/>
      <c r="F622" s="28"/>
      <c r="G622" s="28"/>
      <c r="H622" s="29"/>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9"/>
      <c r="C623" s="28"/>
      <c r="D623" s="28"/>
      <c r="E623" s="28"/>
      <c r="F623" s="28"/>
      <c r="G623" s="28"/>
      <c r="H623" s="29"/>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9"/>
      <c r="C624" s="28"/>
      <c r="D624" s="28"/>
      <c r="E624" s="28"/>
      <c r="F624" s="28"/>
      <c r="G624" s="28"/>
      <c r="H624" s="29"/>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9"/>
      <c r="C625" s="28"/>
      <c r="D625" s="28"/>
      <c r="E625" s="28"/>
      <c r="F625" s="28"/>
      <c r="G625" s="28"/>
      <c r="H625" s="29"/>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9"/>
      <c r="C626" s="28"/>
      <c r="D626" s="28"/>
      <c r="E626" s="28"/>
      <c r="F626" s="28"/>
      <c r="G626" s="28"/>
      <c r="H626" s="29"/>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9"/>
      <c r="C627" s="28"/>
      <c r="D627" s="28"/>
      <c r="E627" s="28"/>
      <c r="F627" s="28"/>
      <c r="G627" s="28"/>
      <c r="H627" s="29"/>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9"/>
      <c r="C628" s="28"/>
      <c r="D628" s="28"/>
      <c r="E628" s="28"/>
      <c r="F628" s="28"/>
      <c r="G628" s="28"/>
      <c r="H628" s="29"/>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9"/>
      <c r="C629" s="28"/>
      <c r="D629" s="28"/>
      <c r="E629" s="28"/>
      <c r="F629" s="28"/>
      <c r="G629" s="28"/>
      <c r="H629" s="29"/>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9"/>
      <c r="C630" s="28"/>
      <c r="D630" s="28"/>
      <c r="E630" s="28"/>
      <c r="F630" s="28"/>
      <c r="G630" s="28"/>
      <c r="H630" s="29"/>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9"/>
      <c r="C631" s="28"/>
      <c r="D631" s="28"/>
      <c r="E631" s="28"/>
      <c r="F631" s="28"/>
      <c r="G631" s="28"/>
      <c r="H631" s="29"/>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9"/>
      <c r="C632" s="28"/>
      <c r="D632" s="28"/>
      <c r="E632" s="28"/>
      <c r="F632" s="28"/>
      <c r="G632" s="28"/>
      <c r="H632" s="29"/>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9"/>
      <c r="C633" s="28"/>
      <c r="D633" s="28"/>
      <c r="E633" s="28"/>
      <c r="F633" s="28"/>
      <c r="G633" s="28"/>
      <c r="H633" s="29"/>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9"/>
      <c r="C634" s="28"/>
      <c r="D634" s="28"/>
      <c r="E634" s="28"/>
      <c r="F634" s="28"/>
      <c r="G634" s="28"/>
      <c r="H634" s="29"/>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9"/>
      <c r="C635" s="28"/>
      <c r="D635" s="28"/>
      <c r="E635" s="28"/>
      <c r="F635" s="28"/>
      <c r="G635" s="28"/>
      <c r="H635" s="29"/>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9"/>
      <c r="C636" s="28"/>
      <c r="D636" s="28"/>
      <c r="E636" s="28"/>
      <c r="F636" s="28"/>
      <c r="G636" s="28"/>
      <c r="H636" s="29"/>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9"/>
      <c r="C637" s="28"/>
      <c r="D637" s="28"/>
      <c r="E637" s="28"/>
      <c r="F637" s="28"/>
      <c r="G637" s="28"/>
      <c r="H637" s="29"/>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9"/>
      <c r="C638" s="28"/>
      <c r="D638" s="28"/>
      <c r="E638" s="28"/>
      <c r="F638" s="28"/>
      <c r="G638" s="28"/>
      <c r="H638" s="29"/>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9"/>
      <c r="C639" s="28"/>
      <c r="D639" s="28"/>
      <c r="E639" s="28"/>
      <c r="F639" s="28"/>
      <c r="G639" s="28"/>
      <c r="H639" s="29"/>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9"/>
      <c r="C640" s="28"/>
      <c r="D640" s="28"/>
      <c r="E640" s="28"/>
      <c r="F640" s="28"/>
      <c r="G640" s="28"/>
      <c r="H640" s="29"/>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9"/>
      <c r="C641" s="28"/>
      <c r="D641" s="28"/>
      <c r="E641" s="28"/>
      <c r="F641" s="28"/>
      <c r="G641" s="28"/>
      <c r="H641" s="29"/>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9"/>
      <c r="C642" s="28"/>
      <c r="D642" s="28"/>
      <c r="E642" s="28"/>
      <c r="F642" s="28"/>
      <c r="G642" s="28"/>
      <c r="H642" s="29"/>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9"/>
      <c r="C643" s="28"/>
      <c r="D643" s="28"/>
      <c r="E643" s="28"/>
      <c r="F643" s="28"/>
      <c r="G643" s="28"/>
      <c r="H643" s="29"/>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9"/>
      <c r="C644" s="28"/>
      <c r="D644" s="28"/>
      <c r="E644" s="28"/>
      <c r="F644" s="28"/>
      <c r="G644" s="28"/>
      <c r="H644" s="29"/>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9"/>
      <c r="C645" s="28"/>
      <c r="D645" s="28"/>
      <c r="E645" s="28"/>
      <c r="F645" s="28"/>
      <c r="G645" s="28"/>
      <c r="H645" s="29"/>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9"/>
      <c r="C646" s="28"/>
      <c r="D646" s="28"/>
      <c r="E646" s="28"/>
      <c r="F646" s="28"/>
      <c r="G646" s="28"/>
      <c r="H646" s="29"/>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9"/>
      <c r="C647" s="28"/>
      <c r="D647" s="28"/>
      <c r="E647" s="28"/>
      <c r="F647" s="28"/>
      <c r="G647" s="28"/>
      <c r="H647" s="29"/>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9"/>
      <c r="C648" s="28"/>
      <c r="D648" s="28"/>
      <c r="E648" s="28"/>
      <c r="F648" s="28"/>
      <c r="G648" s="28"/>
      <c r="H648" s="29"/>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9"/>
      <c r="C649" s="28"/>
      <c r="D649" s="28"/>
      <c r="E649" s="28"/>
      <c r="F649" s="28"/>
      <c r="G649" s="28"/>
      <c r="H649" s="29"/>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9"/>
      <c r="C650" s="28"/>
      <c r="D650" s="28"/>
      <c r="E650" s="28"/>
      <c r="F650" s="28"/>
      <c r="G650" s="28"/>
      <c r="H650" s="29"/>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9"/>
      <c r="C651" s="28"/>
      <c r="D651" s="28"/>
      <c r="E651" s="28"/>
      <c r="F651" s="28"/>
      <c r="G651" s="28"/>
      <c r="H651" s="29"/>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9"/>
      <c r="C652" s="28"/>
      <c r="D652" s="28"/>
      <c r="E652" s="28"/>
      <c r="F652" s="28"/>
      <c r="G652" s="28"/>
      <c r="H652" s="29"/>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9"/>
      <c r="C653" s="28"/>
      <c r="D653" s="28"/>
      <c r="E653" s="28"/>
      <c r="F653" s="28"/>
      <c r="G653" s="28"/>
      <c r="H653" s="29"/>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9"/>
      <c r="C654" s="28"/>
      <c r="D654" s="28"/>
      <c r="E654" s="28"/>
      <c r="F654" s="28"/>
      <c r="G654" s="28"/>
      <c r="H654" s="29"/>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9"/>
      <c r="C655" s="28"/>
      <c r="D655" s="28"/>
      <c r="E655" s="28"/>
      <c r="F655" s="28"/>
      <c r="G655" s="28"/>
      <c r="H655" s="29"/>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9"/>
      <c r="C656" s="28"/>
      <c r="D656" s="28"/>
      <c r="E656" s="28"/>
      <c r="F656" s="28"/>
      <c r="G656" s="28"/>
      <c r="H656" s="29"/>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9"/>
      <c r="C657" s="28"/>
      <c r="D657" s="28"/>
      <c r="E657" s="28"/>
      <c r="F657" s="28"/>
      <c r="G657" s="28"/>
      <c r="H657" s="29"/>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9"/>
      <c r="C658" s="28"/>
      <c r="D658" s="28"/>
      <c r="E658" s="28"/>
      <c r="F658" s="28"/>
      <c r="G658" s="28"/>
      <c r="H658" s="29"/>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9"/>
      <c r="C659" s="28"/>
      <c r="D659" s="28"/>
      <c r="E659" s="28"/>
      <c r="F659" s="28"/>
      <c r="G659" s="28"/>
      <c r="H659" s="29"/>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9"/>
      <c r="C660" s="28"/>
      <c r="D660" s="28"/>
      <c r="E660" s="28"/>
      <c r="F660" s="28"/>
      <c r="G660" s="28"/>
      <c r="H660" s="29"/>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9"/>
      <c r="C661" s="28"/>
      <c r="D661" s="28"/>
      <c r="E661" s="28"/>
      <c r="F661" s="28"/>
      <c r="G661" s="28"/>
      <c r="H661" s="29"/>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9"/>
      <c r="C662" s="28"/>
      <c r="D662" s="28"/>
      <c r="E662" s="28"/>
      <c r="F662" s="28"/>
      <c r="G662" s="28"/>
      <c r="H662" s="29"/>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9"/>
      <c r="C663" s="28"/>
      <c r="D663" s="28"/>
      <c r="E663" s="28"/>
      <c r="F663" s="28"/>
      <c r="G663" s="28"/>
      <c r="H663" s="29"/>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9"/>
      <c r="C664" s="28"/>
      <c r="D664" s="28"/>
      <c r="E664" s="28"/>
      <c r="F664" s="28"/>
      <c r="G664" s="28"/>
      <c r="H664" s="29"/>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9"/>
      <c r="C665" s="28"/>
      <c r="D665" s="28"/>
      <c r="E665" s="28"/>
      <c r="F665" s="28"/>
      <c r="G665" s="28"/>
      <c r="H665" s="29"/>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9"/>
      <c r="C666" s="28"/>
      <c r="D666" s="28"/>
      <c r="E666" s="28"/>
      <c r="F666" s="28"/>
      <c r="G666" s="28"/>
      <c r="H666" s="29"/>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9"/>
      <c r="C667" s="28"/>
      <c r="D667" s="28"/>
      <c r="E667" s="28"/>
      <c r="F667" s="28"/>
      <c r="G667" s="28"/>
      <c r="H667" s="29"/>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9"/>
      <c r="C668" s="28"/>
      <c r="D668" s="28"/>
      <c r="E668" s="28"/>
      <c r="F668" s="28"/>
      <c r="G668" s="28"/>
      <c r="H668" s="29"/>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9"/>
      <c r="C669" s="28"/>
      <c r="D669" s="28"/>
      <c r="E669" s="28"/>
      <c r="F669" s="28"/>
      <c r="G669" s="28"/>
      <c r="H669" s="29"/>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9"/>
      <c r="C670" s="28"/>
      <c r="D670" s="28"/>
      <c r="E670" s="28"/>
      <c r="F670" s="28"/>
      <c r="G670" s="28"/>
      <c r="H670" s="29"/>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9"/>
      <c r="C671" s="28"/>
      <c r="D671" s="28"/>
      <c r="E671" s="28"/>
      <c r="F671" s="28"/>
      <c r="G671" s="28"/>
      <c r="H671" s="29"/>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9"/>
      <c r="C672" s="28"/>
      <c r="D672" s="28"/>
      <c r="E672" s="28"/>
      <c r="F672" s="28"/>
      <c r="G672" s="28"/>
      <c r="H672" s="29"/>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9"/>
      <c r="C673" s="28"/>
      <c r="D673" s="28"/>
      <c r="E673" s="28"/>
      <c r="F673" s="28"/>
      <c r="G673" s="28"/>
      <c r="H673" s="29"/>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9"/>
      <c r="C674" s="28"/>
      <c r="D674" s="28"/>
      <c r="E674" s="28"/>
      <c r="F674" s="28"/>
      <c r="G674" s="28"/>
      <c r="H674" s="29"/>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9"/>
      <c r="C675" s="28"/>
      <c r="D675" s="28"/>
      <c r="E675" s="28"/>
      <c r="F675" s="28"/>
      <c r="G675" s="28"/>
      <c r="H675" s="29"/>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9"/>
      <c r="C676" s="28"/>
      <c r="D676" s="28"/>
      <c r="E676" s="28"/>
      <c r="F676" s="28"/>
      <c r="G676" s="28"/>
      <c r="H676" s="29"/>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9"/>
      <c r="C677" s="28"/>
      <c r="D677" s="28"/>
      <c r="E677" s="28"/>
      <c r="F677" s="28"/>
      <c r="G677" s="28"/>
      <c r="H677" s="29"/>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9"/>
      <c r="C678" s="28"/>
      <c r="D678" s="28"/>
      <c r="E678" s="28"/>
      <c r="F678" s="28"/>
      <c r="G678" s="28"/>
      <c r="H678" s="29"/>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9"/>
      <c r="C679" s="28"/>
      <c r="D679" s="28"/>
      <c r="E679" s="28"/>
      <c r="F679" s="28"/>
      <c r="G679" s="28"/>
      <c r="H679" s="29"/>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9"/>
      <c r="C680" s="28"/>
      <c r="D680" s="28"/>
      <c r="E680" s="28"/>
      <c r="F680" s="28"/>
      <c r="G680" s="28"/>
      <c r="H680" s="29"/>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9"/>
      <c r="C681" s="28"/>
      <c r="D681" s="28"/>
      <c r="E681" s="28"/>
      <c r="F681" s="28"/>
      <c r="G681" s="28"/>
      <c r="H681" s="29"/>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9"/>
      <c r="C682" s="28"/>
      <c r="D682" s="28"/>
      <c r="E682" s="28"/>
      <c r="F682" s="28"/>
      <c r="G682" s="28"/>
      <c r="H682" s="29"/>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9"/>
      <c r="C683" s="28"/>
      <c r="D683" s="28"/>
      <c r="E683" s="28"/>
      <c r="F683" s="28"/>
      <c r="G683" s="28"/>
      <c r="H683" s="29"/>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9"/>
      <c r="C684" s="28"/>
      <c r="D684" s="28"/>
      <c r="E684" s="28"/>
      <c r="F684" s="28"/>
      <c r="G684" s="28"/>
      <c r="H684" s="29"/>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9"/>
      <c r="C685" s="28"/>
      <c r="D685" s="28"/>
      <c r="E685" s="28"/>
      <c r="F685" s="28"/>
      <c r="G685" s="28"/>
      <c r="H685" s="29"/>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9"/>
      <c r="C686" s="28"/>
      <c r="D686" s="28"/>
      <c r="E686" s="28"/>
      <c r="F686" s="28"/>
      <c r="G686" s="28"/>
      <c r="H686" s="29"/>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9"/>
      <c r="C687" s="28"/>
      <c r="D687" s="28"/>
      <c r="E687" s="28"/>
      <c r="F687" s="28"/>
      <c r="G687" s="28"/>
      <c r="H687" s="29"/>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9"/>
      <c r="C688" s="28"/>
      <c r="D688" s="28"/>
      <c r="E688" s="28"/>
      <c r="F688" s="28"/>
      <c r="G688" s="28"/>
      <c r="H688" s="29"/>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9"/>
      <c r="C689" s="28"/>
      <c r="D689" s="28"/>
      <c r="E689" s="28"/>
      <c r="F689" s="28"/>
      <c r="G689" s="28"/>
      <c r="H689" s="29"/>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9"/>
      <c r="C690" s="28"/>
      <c r="D690" s="28"/>
      <c r="E690" s="28"/>
      <c r="F690" s="28"/>
      <c r="G690" s="28"/>
      <c r="H690" s="29"/>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9"/>
      <c r="C691" s="28"/>
      <c r="D691" s="28"/>
      <c r="E691" s="28"/>
      <c r="F691" s="28"/>
      <c r="G691" s="28"/>
      <c r="H691" s="29"/>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9"/>
      <c r="C692" s="28"/>
      <c r="D692" s="28"/>
      <c r="E692" s="28"/>
      <c r="F692" s="28"/>
      <c r="G692" s="28"/>
      <c r="H692" s="29"/>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9"/>
      <c r="C693" s="28"/>
      <c r="D693" s="28"/>
      <c r="E693" s="28"/>
      <c r="F693" s="28"/>
      <c r="G693" s="28"/>
      <c r="H693" s="29"/>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9"/>
      <c r="C694" s="28"/>
      <c r="D694" s="28"/>
      <c r="E694" s="28"/>
      <c r="F694" s="28"/>
      <c r="G694" s="28"/>
      <c r="H694" s="29"/>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9"/>
      <c r="C695" s="28"/>
      <c r="D695" s="28"/>
      <c r="E695" s="28"/>
      <c r="F695" s="28"/>
      <c r="G695" s="28"/>
      <c r="H695" s="29"/>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9"/>
      <c r="C696" s="28"/>
      <c r="D696" s="28"/>
      <c r="E696" s="28"/>
      <c r="F696" s="28"/>
      <c r="G696" s="28"/>
      <c r="H696" s="29"/>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9"/>
      <c r="C697" s="28"/>
      <c r="D697" s="28"/>
      <c r="E697" s="28"/>
      <c r="F697" s="28"/>
      <c r="G697" s="28"/>
      <c r="H697" s="29"/>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9"/>
      <c r="C698" s="28"/>
      <c r="D698" s="28"/>
      <c r="E698" s="28"/>
      <c r="F698" s="28"/>
      <c r="G698" s="28"/>
      <c r="H698" s="29"/>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9"/>
      <c r="C699" s="28"/>
      <c r="D699" s="28"/>
      <c r="E699" s="28"/>
      <c r="F699" s="28"/>
      <c r="G699" s="28"/>
      <c r="H699" s="29"/>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9"/>
      <c r="C700" s="28"/>
      <c r="D700" s="28"/>
      <c r="E700" s="28"/>
      <c r="F700" s="28"/>
      <c r="G700" s="28"/>
      <c r="H700" s="29"/>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9"/>
      <c r="C701" s="28"/>
      <c r="D701" s="28"/>
      <c r="E701" s="28"/>
      <c r="F701" s="28"/>
      <c r="G701" s="28"/>
      <c r="H701" s="29"/>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9"/>
      <c r="C702" s="28"/>
      <c r="D702" s="28"/>
      <c r="E702" s="28"/>
      <c r="F702" s="28"/>
      <c r="G702" s="28"/>
      <c r="H702" s="29"/>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9"/>
      <c r="C703" s="28"/>
      <c r="D703" s="28"/>
      <c r="E703" s="28"/>
      <c r="F703" s="28"/>
      <c r="G703" s="28"/>
      <c r="H703" s="29"/>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9"/>
      <c r="C704" s="28"/>
      <c r="D704" s="28"/>
      <c r="E704" s="28"/>
      <c r="F704" s="28"/>
      <c r="G704" s="28"/>
      <c r="H704" s="29"/>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9"/>
      <c r="C705" s="28"/>
      <c r="D705" s="28"/>
      <c r="E705" s="28"/>
      <c r="F705" s="28"/>
      <c r="G705" s="28"/>
      <c r="H705" s="29"/>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9"/>
      <c r="C706" s="28"/>
      <c r="D706" s="28"/>
      <c r="E706" s="28"/>
      <c r="F706" s="28"/>
      <c r="G706" s="28"/>
      <c r="H706" s="29"/>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9"/>
      <c r="C707" s="28"/>
      <c r="D707" s="28"/>
      <c r="E707" s="28"/>
      <c r="F707" s="28"/>
      <c r="G707" s="28"/>
      <c r="H707" s="29"/>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9"/>
      <c r="C708" s="28"/>
      <c r="D708" s="28"/>
      <c r="E708" s="28"/>
      <c r="F708" s="28"/>
      <c r="G708" s="28"/>
      <c r="H708" s="29"/>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9"/>
      <c r="C709" s="28"/>
      <c r="D709" s="28"/>
      <c r="E709" s="28"/>
      <c r="F709" s="28"/>
      <c r="G709" s="28"/>
      <c r="H709" s="29"/>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9"/>
      <c r="C710" s="28"/>
      <c r="D710" s="28"/>
      <c r="E710" s="28"/>
      <c r="F710" s="28"/>
      <c r="G710" s="28"/>
      <c r="H710" s="29"/>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9"/>
      <c r="C711" s="28"/>
      <c r="D711" s="28"/>
      <c r="E711" s="28"/>
      <c r="F711" s="28"/>
      <c r="G711" s="28"/>
      <c r="H711" s="29"/>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9"/>
      <c r="C712" s="28"/>
      <c r="D712" s="28"/>
      <c r="E712" s="28"/>
      <c r="F712" s="28"/>
      <c r="G712" s="28"/>
      <c r="H712" s="29"/>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9"/>
      <c r="C713" s="28"/>
      <c r="D713" s="28"/>
      <c r="E713" s="28"/>
      <c r="F713" s="28"/>
      <c r="G713" s="28"/>
      <c r="H713" s="29"/>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9"/>
      <c r="C714" s="28"/>
      <c r="D714" s="28"/>
      <c r="E714" s="28"/>
      <c r="F714" s="28"/>
      <c r="G714" s="28"/>
      <c r="H714" s="29"/>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9"/>
      <c r="C715" s="28"/>
      <c r="D715" s="28"/>
      <c r="E715" s="28"/>
      <c r="F715" s="28"/>
      <c r="G715" s="28"/>
      <c r="H715" s="29"/>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9"/>
      <c r="C716" s="28"/>
      <c r="D716" s="28"/>
      <c r="E716" s="28"/>
      <c r="F716" s="28"/>
      <c r="G716" s="28"/>
      <c r="H716" s="29"/>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9"/>
      <c r="C717" s="28"/>
      <c r="D717" s="28"/>
      <c r="E717" s="28"/>
      <c r="F717" s="28"/>
      <c r="G717" s="28"/>
      <c r="H717" s="29"/>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9"/>
      <c r="C718" s="28"/>
      <c r="D718" s="28"/>
      <c r="E718" s="28"/>
      <c r="F718" s="28"/>
      <c r="G718" s="28"/>
      <c r="H718" s="29"/>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9"/>
      <c r="C719" s="28"/>
      <c r="D719" s="28"/>
      <c r="E719" s="28"/>
      <c r="F719" s="28"/>
      <c r="G719" s="28"/>
      <c r="H719" s="29"/>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9"/>
      <c r="C720" s="28"/>
      <c r="D720" s="28"/>
      <c r="E720" s="28"/>
      <c r="F720" s="28"/>
      <c r="G720" s="28"/>
      <c r="H720" s="29"/>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9"/>
      <c r="C721" s="28"/>
      <c r="D721" s="28"/>
      <c r="E721" s="28"/>
      <c r="F721" s="28"/>
      <c r="G721" s="28"/>
      <c r="H721" s="29"/>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9"/>
      <c r="C722" s="28"/>
      <c r="D722" s="28"/>
      <c r="E722" s="28"/>
      <c r="F722" s="28"/>
      <c r="G722" s="28"/>
      <c r="H722" s="29"/>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9"/>
      <c r="C723" s="28"/>
      <c r="D723" s="28"/>
      <c r="E723" s="28"/>
      <c r="F723" s="28"/>
      <c r="G723" s="28"/>
      <c r="H723" s="29"/>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9"/>
      <c r="C724" s="28"/>
      <c r="D724" s="28"/>
      <c r="E724" s="28"/>
      <c r="F724" s="28"/>
      <c r="G724" s="28"/>
      <c r="H724" s="29"/>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9"/>
      <c r="C725" s="28"/>
      <c r="D725" s="28"/>
      <c r="E725" s="28"/>
      <c r="F725" s="28"/>
      <c r="G725" s="28"/>
      <c r="H725" s="29"/>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9"/>
      <c r="C726" s="28"/>
      <c r="D726" s="28"/>
      <c r="E726" s="28"/>
      <c r="F726" s="28"/>
      <c r="G726" s="28"/>
      <c r="H726" s="29"/>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9"/>
      <c r="C727" s="28"/>
      <c r="D727" s="28"/>
      <c r="E727" s="28"/>
      <c r="F727" s="28"/>
      <c r="G727" s="28"/>
      <c r="H727" s="29"/>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9"/>
      <c r="C728" s="28"/>
      <c r="D728" s="28"/>
      <c r="E728" s="28"/>
      <c r="F728" s="28"/>
      <c r="G728" s="28"/>
      <c r="H728" s="29"/>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9"/>
      <c r="C729" s="28"/>
      <c r="D729" s="28"/>
      <c r="E729" s="28"/>
      <c r="F729" s="28"/>
      <c r="G729" s="28"/>
      <c r="H729" s="29"/>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9"/>
      <c r="C730" s="28"/>
      <c r="D730" s="28"/>
      <c r="E730" s="28"/>
      <c r="F730" s="28"/>
      <c r="G730" s="28"/>
      <c r="H730" s="29"/>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9"/>
      <c r="C731" s="28"/>
      <c r="D731" s="28"/>
      <c r="E731" s="28"/>
      <c r="F731" s="28"/>
      <c r="G731" s="28"/>
      <c r="H731" s="29"/>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9"/>
      <c r="C732" s="28"/>
      <c r="D732" s="28"/>
      <c r="E732" s="28"/>
      <c r="F732" s="28"/>
      <c r="G732" s="28"/>
      <c r="H732" s="29"/>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9"/>
      <c r="C733" s="28"/>
      <c r="D733" s="28"/>
      <c r="E733" s="28"/>
      <c r="F733" s="28"/>
      <c r="G733" s="28"/>
      <c r="H733" s="29"/>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9"/>
      <c r="C734" s="28"/>
      <c r="D734" s="28"/>
      <c r="E734" s="28"/>
      <c r="F734" s="28"/>
      <c r="G734" s="28"/>
      <c r="H734" s="29"/>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9"/>
      <c r="C735" s="28"/>
      <c r="D735" s="28"/>
      <c r="E735" s="28"/>
      <c r="F735" s="28"/>
      <c r="G735" s="28"/>
      <c r="H735" s="29"/>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9"/>
      <c r="C736" s="28"/>
      <c r="D736" s="28"/>
      <c r="E736" s="28"/>
      <c r="F736" s="28"/>
      <c r="G736" s="28"/>
      <c r="H736" s="29"/>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9"/>
      <c r="C737" s="28"/>
      <c r="D737" s="28"/>
      <c r="E737" s="28"/>
      <c r="F737" s="28"/>
      <c r="G737" s="28"/>
      <c r="H737" s="29"/>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9"/>
      <c r="C738" s="28"/>
      <c r="D738" s="28"/>
      <c r="E738" s="28"/>
      <c r="F738" s="28"/>
      <c r="G738" s="28"/>
      <c r="H738" s="29"/>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9"/>
      <c r="C739" s="28"/>
      <c r="D739" s="28"/>
      <c r="E739" s="28"/>
      <c r="F739" s="28"/>
      <c r="G739" s="28"/>
      <c r="H739" s="29"/>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9"/>
      <c r="C740" s="28"/>
      <c r="D740" s="28"/>
      <c r="E740" s="28"/>
      <c r="F740" s="28"/>
      <c r="G740" s="28"/>
      <c r="H740" s="29"/>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9"/>
      <c r="C741" s="28"/>
      <c r="D741" s="28"/>
      <c r="E741" s="28"/>
      <c r="F741" s="28"/>
      <c r="G741" s="28"/>
      <c r="H741" s="29"/>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9"/>
      <c r="C742" s="28"/>
      <c r="D742" s="28"/>
      <c r="E742" s="28"/>
      <c r="F742" s="28"/>
      <c r="G742" s="28"/>
      <c r="H742" s="29"/>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9"/>
      <c r="C743" s="28"/>
      <c r="D743" s="28"/>
      <c r="E743" s="28"/>
      <c r="F743" s="28"/>
      <c r="G743" s="28"/>
      <c r="H743" s="29"/>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9"/>
      <c r="C744" s="28"/>
      <c r="D744" s="28"/>
      <c r="E744" s="28"/>
      <c r="F744" s="28"/>
      <c r="G744" s="28"/>
      <c r="H744" s="29"/>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9"/>
      <c r="C745" s="28"/>
      <c r="D745" s="28"/>
      <c r="E745" s="28"/>
      <c r="F745" s="28"/>
      <c r="G745" s="28"/>
      <c r="H745" s="29"/>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9"/>
      <c r="C746" s="28"/>
      <c r="D746" s="28"/>
      <c r="E746" s="28"/>
      <c r="F746" s="28"/>
      <c r="G746" s="28"/>
      <c r="H746" s="29"/>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9"/>
      <c r="C747" s="28"/>
      <c r="D747" s="28"/>
      <c r="E747" s="28"/>
      <c r="F747" s="28"/>
      <c r="G747" s="28"/>
      <c r="H747" s="29"/>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9"/>
      <c r="C748" s="28"/>
      <c r="D748" s="28"/>
      <c r="E748" s="28"/>
      <c r="F748" s="28"/>
      <c r="G748" s="28"/>
      <c r="H748" s="29"/>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9"/>
      <c r="C749" s="28"/>
      <c r="D749" s="28"/>
      <c r="E749" s="28"/>
      <c r="F749" s="28"/>
      <c r="G749" s="28"/>
      <c r="H749" s="29"/>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9"/>
      <c r="C750" s="28"/>
      <c r="D750" s="28"/>
      <c r="E750" s="28"/>
      <c r="F750" s="28"/>
      <c r="G750" s="28"/>
      <c r="H750" s="29"/>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9"/>
      <c r="C751" s="28"/>
      <c r="D751" s="28"/>
      <c r="E751" s="28"/>
      <c r="F751" s="28"/>
      <c r="G751" s="28"/>
      <c r="H751" s="29"/>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9"/>
      <c r="C752" s="28"/>
      <c r="D752" s="28"/>
      <c r="E752" s="28"/>
      <c r="F752" s="28"/>
      <c r="G752" s="28"/>
      <c r="H752" s="29"/>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9"/>
      <c r="C753" s="28"/>
      <c r="D753" s="28"/>
      <c r="E753" s="28"/>
      <c r="F753" s="28"/>
      <c r="G753" s="28"/>
      <c r="H753" s="29"/>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9"/>
      <c r="C754" s="28"/>
      <c r="D754" s="28"/>
      <c r="E754" s="28"/>
      <c r="F754" s="28"/>
      <c r="G754" s="28"/>
      <c r="H754" s="29"/>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9"/>
      <c r="C755" s="28"/>
      <c r="D755" s="28"/>
      <c r="E755" s="28"/>
      <c r="F755" s="28"/>
      <c r="G755" s="28"/>
      <c r="H755" s="29"/>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9"/>
      <c r="C756" s="28"/>
      <c r="D756" s="28"/>
      <c r="E756" s="28"/>
      <c r="F756" s="28"/>
      <c r="G756" s="28"/>
      <c r="H756" s="29"/>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9"/>
      <c r="C757" s="28"/>
      <c r="D757" s="28"/>
      <c r="E757" s="28"/>
      <c r="F757" s="28"/>
      <c r="G757" s="28"/>
      <c r="H757" s="29"/>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9"/>
      <c r="C758" s="28"/>
      <c r="D758" s="28"/>
      <c r="E758" s="28"/>
      <c r="F758" s="28"/>
      <c r="G758" s="28"/>
      <c r="H758" s="29"/>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9"/>
      <c r="C759" s="28"/>
      <c r="D759" s="28"/>
      <c r="E759" s="28"/>
      <c r="F759" s="28"/>
      <c r="G759" s="28"/>
      <c r="H759" s="29"/>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9"/>
      <c r="C760" s="28"/>
      <c r="D760" s="28"/>
      <c r="E760" s="28"/>
      <c r="F760" s="28"/>
      <c r="G760" s="28"/>
      <c r="H760" s="29"/>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9"/>
      <c r="C761" s="28"/>
      <c r="D761" s="28"/>
      <c r="E761" s="28"/>
      <c r="F761" s="28"/>
      <c r="G761" s="28"/>
      <c r="H761" s="29"/>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9"/>
      <c r="C762" s="28"/>
      <c r="D762" s="28"/>
      <c r="E762" s="28"/>
      <c r="F762" s="28"/>
      <c r="G762" s="28"/>
      <c r="H762" s="29"/>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9"/>
      <c r="C763" s="28"/>
      <c r="D763" s="28"/>
      <c r="E763" s="28"/>
      <c r="F763" s="28"/>
      <c r="G763" s="28"/>
      <c r="H763" s="29"/>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9"/>
      <c r="C764" s="28"/>
      <c r="D764" s="28"/>
      <c r="E764" s="28"/>
      <c r="F764" s="28"/>
      <c r="G764" s="28"/>
      <c r="H764" s="29"/>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9"/>
      <c r="C765" s="28"/>
      <c r="D765" s="28"/>
      <c r="E765" s="28"/>
      <c r="F765" s="28"/>
      <c r="G765" s="28"/>
      <c r="H765" s="29"/>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9"/>
      <c r="C766" s="28"/>
      <c r="D766" s="28"/>
      <c r="E766" s="28"/>
      <c r="F766" s="28"/>
      <c r="G766" s="28"/>
      <c r="H766" s="29"/>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9"/>
      <c r="C767" s="28"/>
      <c r="D767" s="28"/>
      <c r="E767" s="28"/>
      <c r="F767" s="28"/>
      <c r="G767" s="28"/>
      <c r="H767" s="29"/>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9"/>
      <c r="C768" s="28"/>
      <c r="D768" s="28"/>
      <c r="E768" s="28"/>
      <c r="F768" s="28"/>
      <c r="G768" s="28"/>
      <c r="H768" s="29"/>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9"/>
      <c r="C769" s="28"/>
      <c r="D769" s="28"/>
      <c r="E769" s="28"/>
      <c r="F769" s="28"/>
      <c r="G769" s="28"/>
      <c r="H769" s="29"/>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9"/>
      <c r="C770" s="28"/>
      <c r="D770" s="28"/>
      <c r="E770" s="28"/>
      <c r="F770" s="28"/>
      <c r="G770" s="28"/>
      <c r="H770" s="29"/>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9"/>
      <c r="C771" s="28"/>
      <c r="D771" s="28"/>
      <c r="E771" s="28"/>
      <c r="F771" s="28"/>
      <c r="G771" s="28"/>
      <c r="H771" s="29"/>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9"/>
      <c r="C772" s="28"/>
      <c r="D772" s="28"/>
      <c r="E772" s="28"/>
      <c r="F772" s="28"/>
      <c r="G772" s="28"/>
      <c r="H772" s="29"/>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9"/>
      <c r="C773" s="28"/>
      <c r="D773" s="28"/>
      <c r="E773" s="28"/>
      <c r="F773" s="28"/>
      <c r="G773" s="28"/>
      <c r="H773" s="29"/>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9"/>
      <c r="C774" s="28"/>
      <c r="D774" s="28"/>
      <c r="E774" s="28"/>
      <c r="F774" s="28"/>
      <c r="G774" s="28"/>
      <c r="H774" s="29"/>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9"/>
      <c r="C775" s="28"/>
      <c r="D775" s="28"/>
      <c r="E775" s="28"/>
      <c r="F775" s="28"/>
      <c r="G775" s="28"/>
      <c r="H775" s="29"/>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9"/>
      <c r="C776" s="28"/>
      <c r="D776" s="28"/>
      <c r="E776" s="28"/>
      <c r="F776" s="28"/>
      <c r="G776" s="28"/>
      <c r="H776" s="29"/>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9"/>
      <c r="C777" s="28"/>
      <c r="D777" s="28"/>
      <c r="E777" s="28"/>
      <c r="F777" s="28"/>
      <c r="G777" s="28"/>
      <c r="H777" s="29"/>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9"/>
      <c r="C778" s="28"/>
      <c r="D778" s="28"/>
      <c r="E778" s="28"/>
      <c r="F778" s="28"/>
      <c r="G778" s="28"/>
      <c r="H778" s="29"/>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9"/>
      <c r="C779" s="28"/>
      <c r="D779" s="28"/>
      <c r="E779" s="28"/>
      <c r="F779" s="28"/>
      <c r="G779" s="28"/>
      <c r="H779" s="29"/>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9"/>
      <c r="C780" s="28"/>
      <c r="D780" s="28"/>
      <c r="E780" s="28"/>
      <c r="F780" s="28"/>
      <c r="G780" s="28"/>
      <c r="H780" s="29"/>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9"/>
      <c r="C781" s="28"/>
      <c r="D781" s="28"/>
      <c r="E781" s="28"/>
      <c r="F781" s="28"/>
      <c r="G781" s="28"/>
      <c r="H781" s="29"/>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9"/>
      <c r="C782" s="28"/>
      <c r="D782" s="28"/>
      <c r="E782" s="28"/>
      <c r="F782" s="28"/>
      <c r="G782" s="28"/>
      <c r="H782" s="29"/>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9"/>
      <c r="C783" s="28"/>
      <c r="D783" s="28"/>
      <c r="E783" s="28"/>
      <c r="F783" s="28"/>
      <c r="G783" s="28"/>
      <c r="H783" s="29"/>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9"/>
      <c r="C784" s="28"/>
      <c r="D784" s="28"/>
      <c r="E784" s="28"/>
      <c r="F784" s="28"/>
      <c r="G784" s="28"/>
      <c r="H784" s="29"/>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9"/>
      <c r="C785" s="28"/>
      <c r="D785" s="28"/>
      <c r="E785" s="28"/>
      <c r="F785" s="28"/>
      <c r="G785" s="28"/>
      <c r="H785" s="29"/>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9"/>
      <c r="C786" s="28"/>
      <c r="D786" s="28"/>
      <c r="E786" s="28"/>
      <c r="F786" s="28"/>
      <c r="G786" s="28"/>
      <c r="H786" s="29"/>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9"/>
      <c r="C787" s="28"/>
      <c r="D787" s="28"/>
      <c r="E787" s="28"/>
      <c r="F787" s="28"/>
      <c r="G787" s="28"/>
      <c r="H787" s="29"/>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9"/>
      <c r="C788" s="28"/>
      <c r="D788" s="28"/>
      <c r="E788" s="28"/>
      <c r="F788" s="28"/>
      <c r="G788" s="28"/>
      <c r="H788" s="29"/>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9"/>
      <c r="C789" s="28"/>
      <c r="D789" s="28"/>
      <c r="E789" s="28"/>
      <c r="F789" s="28"/>
      <c r="G789" s="28"/>
      <c r="H789" s="29"/>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9"/>
      <c r="C790" s="28"/>
      <c r="D790" s="28"/>
      <c r="E790" s="28"/>
      <c r="F790" s="28"/>
      <c r="G790" s="28"/>
      <c r="H790" s="29"/>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9"/>
      <c r="C791" s="28"/>
      <c r="D791" s="28"/>
      <c r="E791" s="28"/>
      <c r="F791" s="28"/>
      <c r="G791" s="28"/>
      <c r="H791" s="29"/>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9"/>
      <c r="C792" s="28"/>
      <c r="D792" s="28"/>
      <c r="E792" s="28"/>
      <c r="F792" s="28"/>
      <c r="G792" s="28"/>
      <c r="H792" s="29"/>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9"/>
      <c r="C793" s="28"/>
      <c r="D793" s="28"/>
      <c r="E793" s="28"/>
      <c r="F793" s="28"/>
      <c r="G793" s="28"/>
      <c r="H793" s="29"/>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9"/>
      <c r="C794" s="28"/>
      <c r="D794" s="28"/>
      <c r="E794" s="28"/>
      <c r="F794" s="28"/>
      <c r="G794" s="28"/>
      <c r="H794" s="29"/>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9"/>
      <c r="C795" s="28"/>
      <c r="D795" s="28"/>
      <c r="E795" s="28"/>
      <c r="F795" s="28"/>
      <c r="G795" s="28"/>
      <c r="H795" s="29"/>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9"/>
      <c r="C796" s="28"/>
      <c r="D796" s="28"/>
      <c r="E796" s="28"/>
      <c r="F796" s="28"/>
      <c r="G796" s="28"/>
      <c r="H796" s="29"/>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9"/>
      <c r="C797" s="28"/>
      <c r="D797" s="28"/>
      <c r="E797" s="28"/>
      <c r="F797" s="28"/>
      <c r="G797" s="28"/>
      <c r="H797" s="29"/>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9"/>
      <c r="C798" s="28"/>
      <c r="D798" s="28"/>
      <c r="E798" s="28"/>
      <c r="F798" s="28"/>
      <c r="G798" s="28"/>
      <c r="H798" s="29"/>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9"/>
      <c r="C799" s="28"/>
      <c r="D799" s="28"/>
      <c r="E799" s="28"/>
      <c r="F799" s="28"/>
      <c r="G799" s="28"/>
      <c r="H799" s="29"/>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9"/>
      <c r="C800" s="28"/>
      <c r="D800" s="28"/>
      <c r="E800" s="28"/>
      <c r="F800" s="28"/>
      <c r="G800" s="28"/>
      <c r="H800" s="29"/>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9"/>
      <c r="C801" s="28"/>
      <c r="D801" s="28"/>
      <c r="E801" s="28"/>
      <c r="F801" s="28"/>
      <c r="G801" s="28"/>
      <c r="H801" s="29"/>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9"/>
      <c r="C802" s="28"/>
      <c r="D802" s="28"/>
      <c r="E802" s="28"/>
      <c r="F802" s="28"/>
      <c r="G802" s="28"/>
      <c r="H802" s="29"/>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9"/>
      <c r="C803" s="28"/>
      <c r="D803" s="28"/>
      <c r="E803" s="28"/>
      <c r="F803" s="28"/>
      <c r="G803" s="28"/>
      <c r="H803" s="29"/>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9"/>
      <c r="C804" s="28"/>
      <c r="D804" s="28"/>
      <c r="E804" s="28"/>
      <c r="F804" s="28"/>
      <c r="G804" s="28"/>
      <c r="H804" s="29"/>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9"/>
      <c r="C805" s="28"/>
      <c r="D805" s="28"/>
      <c r="E805" s="28"/>
      <c r="F805" s="28"/>
      <c r="G805" s="28"/>
      <c r="H805" s="29"/>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9"/>
      <c r="C806" s="28"/>
      <c r="D806" s="28"/>
      <c r="E806" s="28"/>
      <c r="F806" s="28"/>
      <c r="G806" s="28"/>
      <c r="H806" s="29"/>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9"/>
      <c r="C807" s="28"/>
      <c r="D807" s="28"/>
      <c r="E807" s="28"/>
      <c r="F807" s="28"/>
      <c r="G807" s="28"/>
      <c r="H807" s="29"/>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9"/>
      <c r="C808" s="28"/>
      <c r="D808" s="28"/>
      <c r="E808" s="28"/>
      <c r="F808" s="28"/>
      <c r="G808" s="28"/>
      <c r="H808" s="29"/>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9"/>
      <c r="C809" s="28"/>
      <c r="D809" s="28"/>
      <c r="E809" s="28"/>
      <c r="F809" s="28"/>
      <c r="G809" s="28"/>
      <c r="H809" s="29"/>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9"/>
      <c r="C810" s="28"/>
      <c r="D810" s="28"/>
      <c r="E810" s="28"/>
      <c r="F810" s="28"/>
      <c r="G810" s="28"/>
      <c r="H810" s="29"/>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9"/>
      <c r="C811" s="28"/>
      <c r="D811" s="28"/>
      <c r="E811" s="28"/>
      <c r="F811" s="28"/>
      <c r="G811" s="28"/>
      <c r="H811" s="29"/>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9"/>
      <c r="C812" s="28"/>
      <c r="D812" s="28"/>
      <c r="E812" s="28"/>
      <c r="F812" s="28"/>
      <c r="G812" s="28"/>
      <c r="H812" s="29"/>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9"/>
      <c r="C813" s="28"/>
      <c r="D813" s="28"/>
      <c r="E813" s="28"/>
      <c r="F813" s="28"/>
      <c r="G813" s="28"/>
      <c r="H813" s="29"/>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9"/>
      <c r="C814" s="28"/>
      <c r="D814" s="28"/>
      <c r="E814" s="28"/>
      <c r="F814" s="28"/>
      <c r="G814" s="28"/>
      <c r="H814" s="29"/>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9"/>
      <c r="C815" s="28"/>
      <c r="D815" s="28"/>
      <c r="E815" s="28"/>
      <c r="F815" s="28"/>
      <c r="G815" s="28"/>
      <c r="H815" s="29"/>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9"/>
      <c r="C816" s="28"/>
      <c r="D816" s="28"/>
      <c r="E816" s="28"/>
      <c r="F816" s="28"/>
      <c r="G816" s="28"/>
      <c r="H816" s="29"/>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9"/>
      <c r="C817" s="28"/>
      <c r="D817" s="28"/>
      <c r="E817" s="28"/>
      <c r="F817" s="28"/>
      <c r="G817" s="28"/>
      <c r="H817" s="29"/>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9"/>
      <c r="C818" s="28"/>
      <c r="D818" s="28"/>
      <c r="E818" s="28"/>
      <c r="F818" s="28"/>
      <c r="G818" s="28"/>
      <c r="H818" s="29"/>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9"/>
      <c r="C819" s="28"/>
      <c r="D819" s="28"/>
      <c r="E819" s="28"/>
      <c r="F819" s="28"/>
      <c r="G819" s="28"/>
      <c r="H819" s="29"/>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9"/>
      <c r="C820" s="28"/>
      <c r="D820" s="28"/>
      <c r="E820" s="28"/>
      <c r="F820" s="28"/>
      <c r="G820" s="28"/>
      <c r="H820" s="29"/>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9"/>
      <c r="C821" s="28"/>
      <c r="D821" s="28"/>
      <c r="E821" s="28"/>
      <c r="F821" s="28"/>
      <c r="G821" s="28"/>
      <c r="H821" s="29"/>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9"/>
      <c r="C822" s="28"/>
      <c r="D822" s="28"/>
      <c r="E822" s="28"/>
      <c r="F822" s="28"/>
      <c r="G822" s="28"/>
      <c r="H822" s="29"/>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9"/>
      <c r="C823" s="28"/>
      <c r="D823" s="28"/>
      <c r="E823" s="28"/>
      <c r="F823" s="28"/>
      <c r="G823" s="28"/>
      <c r="H823" s="29"/>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9"/>
      <c r="C824" s="28"/>
      <c r="D824" s="28"/>
      <c r="E824" s="28"/>
      <c r="F824" s="28"/>
      <c r="G824" s="28"/>
      <c r="H824" s="29"/>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9"/>
      <c r="C825" s="28"/>
      <c r="D825" s="28"/>
      <c r="E825" s="28"/>
      <c r="F825" s="28"/>
      <c r="G825" s="28"/>
      <c r="H825" s="29"/>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9"/>
      <c r="C826" s="28"/>
      <c r="D826" s="28"/>
      <c r="E826" s="28"/>
      <c r="F826" s="28"/>
      <c r="G826" s="28"/>
      <c r="H826" s="29"/>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9"/>
      <c r="C827" s="28"/>
      <c r="D827" s="28"/>
      <c r="E827" s="28"/>
      <c r="F827" s="28"/>
      <c r="G827" s="28"/>
      <c r="H827" s="29"/>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9"/>
      <c r="C828" s="28"/>
      <c r="D828" s="28"/>
      <c r="E828" s="28"/>
      <c r="F828" s="28"/>
      <c r="G828" s="28"/>
      <c r="H828" s="29"/>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9"/>
      <c r="C829" s="28"/>
      <c r="D829" s="28"/>
      <c r="E829" s="28"/>
      <c r="F829" s="28"/>
      <c r="G829" s="28"/>
      <c r="H829" s="29"/>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9"/>
      <c r="C830" s="28"/>
      <c r="D830" s="28"/>
      <c r="E830" s="28"/>
      <c r="F830" s="28"/>
      <c r="G830" s="28"/>
      <c r="H830" s="29"/>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9"/>
      <c r="C831" s="28"/>
      <c r="D831" s="28"/>
      <c r="E831" s="28"/>
      <c r="F831" s="28"/>
      <c r="G831" s="28"/>
      <c r="H831" s="29"/>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9"/>
      <c r="C832" s="28"/>
      <c r="D832" s="28"/>
      <c r="E832" s="28"/>
      <c r="F832" s="28"/>
      <c r="G832" s="28"/>
      <c r="H832" s="29"/>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9"/>
      <c r="C833" s="28"/>
      <c r="D833" s="28"/>
      <c r="E833" s="28"/>
      <c r="F833" s="28"/>
      <c r="G833" s="28"/>
      <c r="H833" s="29"/>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9"/>
      <c r="C834" s="28"/>
      <c r="D834" s="28"/>
      <c r="E834" s="28"/>
      <c r="F834" s="28"/>
      <c r="G834" s="28"/>
      <c r="H834" s="29"/>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9"/>
      <c r="C835" s="28"/>
      <c r="D835" s="28"/>
      <c r="E835" s="28"/>
      <c r="F835" s="28"/>
      <c r="G835" s="28"/>
      <c r="H835" s="29"/>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9"/>
      <c r="C836" s="28"/>
      <c r="D836" s="28"/>
      <c r="E836" s="28"/>
      <c r="F836" s="28"/>
      <c r="G836" s="28"/>
      <c r="H836" s="29"/>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9"/>
      <c r="C837" s="28"/>
      <c r="D837" s="28"/>
      <c r="E837" s="28"/>
      <c r="F837" s="28"/>
      <c r="G837" s="28"/>
      <c r="H837" s="29"/>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9"/>
      <c r="C838" s="28"/>
      <c r="D838" s="28"/>
      <c r="E838" s="28"/>
      <c r="F838" s="28"/>
      <c r="G838" s="28"/>
      <c r="H838" s="29"/>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9"/>
      <c r="C839" s="28"/>
      <c r="D839" s="28"/>
      <c r="E839" s="28"/>
      <c r="F839" s="28"/>
      <c r="G839" s="28"/>
      <c r="H839" s="29"/>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9"/>
      <c r="C840" s="28"/>
      <c r="D840" s="28"/>
      <c r="E840" s="28"/>
      <c r="F840" s="28"/>
      <c r="G840" s="28"/>
      <c r="H840" s="29"/>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9"/>
      <c r="C841" s="28"/>
      <c r="D841" s="28"/>
      <c r="E841" s="28"/>
      <c r="F841" s="28"/>
      <c r="G841" s="28"/>
      <c r="H841" s="29"/>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9"/>
      <c r="C842" s="28"/>
      <c r="D842" s="28"/>
      <c r="E842" s="28"/>
      <c r="F842" s="28"/>
      <c r="G842" s="28"/>
      <c r="H842" s="29"/>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9"/>
      <c r="C843" s="28"/>
      <c r="D843" s="28"/>
      <c r="E843" s="28"/>
      <c r="F843" s="28"/>
      <c r="G843" s="28"/>
      <c r="H843" s="29"/>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9"/>
      <c r="C844" s="28"/>
      <c r="D844" s="28"/>
      <c r="E844" s="28"/>
      <c r="F844" s="28"/>
      <c r="G844" s="28"/>
      <c r="H844" s="29"/>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9"/>
      <c r="C845" s="28"/>
      <c r="D845" s="28"/>
      <c r="E845" s="28"/>
      <c r="F845" s="28"/>
      <c r="G845" s="28"/>
      <c r="H845" s="29"/>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9"/>
      <c r="C846" s="28"/>
      <c r="D846" s="28"/>
      <c r="E846" s="28"/>
      <c r="F846" s="28"/>
      <c r="G846" s="28"/>
      <c r="H846" s="29"/>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9"/>
      <c r="C847" s="28"/>
      <c r="D847" s="28"/>
      <c r="E847" s="28"/>
      <c r="F847" s="28"/>
      <c r="G847" s="28"/>
      <c r="H847" s="29"/>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9"/>
      <c r="C848" s="28"/>
      <c r="D848" s="28"/>
      <c r="E848" s="28"/>
      <c r="F848" s="28"/>
      <c r="G848" s="28"/>
      <c r="H848" s="29"/>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9"/>
      <c r="C849" s="28"/>
      <c r="D849" s="28"/>
      <c r="E849" s="28"/>
      <c r="F849" s="28"/>
      <c r="G849" s="28"/>
      <c r="H849" s="29"/>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9"/>
      <c r="C850" s="28"/>
      <c r="D850" s="28"/>
      <c r="E850" s="28"/>
      <c r="F850" s="28"/>
      <c r="G850" s="28"/>
      <c r="H850" s="29"/>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9"/>
      <c r="C851" s="28"/>
      <c r="D851" s="28"/>
      <c r="E851" s="28"/>
      <c r="F851" s="28"/>
      <c r="G851" s="28"/>
      <c r="H851" s="29"/>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9"/>
      <c r="C852" s="28"/>
      <c r="D852" s="28"/>
      <c r="E852" s="28"/>
      <c r="F852" s="28"/>
      <c r="G852" s="28"/>
      <c r="H852" s="29"/>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9"/>
      <c r="C853" s="28"/>
      <c r="D853" s="28"/>
      <c r="E853" s="28"/>
      <c r="F853" s="28"/>
      <c r="G853" s="28"/>
      <c r="H853" s="29"/>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9"/>
      <c r="C854" s="28"/>
      <c r="D854" s="28"/>
      <c r="E854" s="28"/>
      <c r="F854" s="28"/>
      <c r="G854" s="28"/>
      <c r="H854" s="29"/>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9"/>
      <c r="C855" s="28"/>
      <c r="D855" s="28"/>
      <c r="E855" s="28"/>
      <c r="F855" s="28"/>
      <c r="G855" s="28"/>
      <c r="H855" s="29"/>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9"/>
      <c r="C856" s="28"/>
      <c r="D856" s="28"/>
      <c r="E856" s="28"/>
      <c r="F856" s="28"/>
      <c r="G856" s="28"/>
      <c r="H856" s="29"/>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9"/>
      <c r="C857" s="28"/>
      <c r="D857" s="28"/>
      <c r="E857" s="28"/>
      <c r="F857" s="28"/>
      <c r="G857" s="28"/>
      <c r="H857" s="29"/>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9"/>
      <c r="C858" s="28"/>
      <c r="D858" s="28"/>
      <c r="E858" s="28"/>
      <c r="F858" s="28"/>
      <c r="G858" s="28"/>
      <c r="H858" s="29"/>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9"/>
      <c r="C859" s="28"/>
      <c r="D859" s="28"/>
      <c r="E859" s="28"/>
      <c r="F859" s="28"/>
      <c r="G859" s="28"/>
      <c r="H859" s="29"/>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9"/>
      <c r="C860" s="28"/>
      <c r="D860" s="28"/>
      <c r="E860" s="28"/>
      <c r="F860" s="28"/>
      <c r="G860" s="28"/>
      <c r="H860" s="29"/>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9"/>
      <c r="C861" s="28"/>
      <c r="D861" s="28"/>
      <c r="E861" s="28"/>
      <c r="F861" s="28"/>
      <c r="G861" s="28"/>
      <c r="H861" s="29"/>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9"/>
      <c r="C862" s="28"/>
      <c r="D862" s="28"/>
      <c r="E862" s="28"/>
      <c r="F862" s="28"/>
      <c r="G862" s="28"/>
      <c r="H862" s="29"/>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9"/>
      <c r="C863" s="28"/>
      <c r="D863" s="28"/>
      <c r="E863" s="28"/>
      <c r="F863" s="28"/>
      <c r="G863" s="28"/>
      <c r="H863" s="29"/>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9"/>
      <c r="C864" s="28"/>
      <c r="D864" s="28"/>
      <c r="E864" s="28"/>
      <c r="F864" s="28"/>
      <c r="G864" s="28"/>
      <c r="H864" s="29"/>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9"/>
      <c r="C865" s="28"/>
      <c r="D865" s="28"/>
      <c r="E865" s="28"/>
      <c r="F865" s="28"/>
      <c r="G865" s="28"/>
      <c r="H865" s="29"/>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9"/>
      <c r="C866" s="28"/>
      <c r="D866" s="28"/>
      <c r="E866" s="28"/>
      <c r="F866" s="28"/>
      <c r="G866" s="28"/>
      <c r="H866" s="29"/>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9"/>
      <c r="C867" s="28"/>
      <c r="D867" s="28"/>
      <c r="E867" s="28"/>
      <c r="F867" s="28"/>
      <c r="G867" s="28"/>
      <c r="H867" s="29"/>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9"/>
      <c r="C868" s="28"/>
      <c r="D868" s="28"/>
      <c r="E868" s="28"/>
      <c r="F868" s="28"/>
      <c r="G868" s="28"/>
      <c r="H868" s="29"/>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9"/>
      <c r="C869" s="28"/>
      <c r="D869" s="28"/>
      <c r="E869" s="28"/>
      <c r="F869" s="28"/>
      <c r="G869" s="28"/>
      <c r="H869" s="29"/>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9"/>
      <c r="C870" s="28"/>
      <c r="D870" s="28"/>
      <c r="E870" s="28"/>
      <c r="F870" s="28"/>
      <c r="G870" s="28"/>
      <c r="H870" s="29"/>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9"/>
      <c r="C871" s="28"/>
      <c r="D871" s="28"/>
      <c r="E871" s="28"/>
      <c r="F871" s="28"/>
      <c r="G871" s="28"/>
      <c r="H871" s="29"/>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9"/>
      <c r="C872" s="28"/>
      <c r="D872" s="28"/>
      <c r="E872" s="28"/>
      <c r="F872" s="28"/>
      <c r="G872" s="28"/>
      <c r="H872" s="29"/>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9"/>
      <c r="C873" s="28"/>
      <c r="D873" s="28"/>
      <c r="E873" s="28"/>
      <c r="F873" s="28"/>
      <c r="G873" s="28"/>
      <c r="H873" s="29"/>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9"/>
      <c r="C874" s="28"/>
      <c r="D874" s="28"/>
      <c r="E874" s="28"/>
      <c r="F874" s="28"/>
      <c r="G874" s="28"/>
      <c r="H874" s="29"/>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9"/>
      <c r="C875" s="28"/>
      <c r="D875" s="28"/>
      <c r="E875" s="28"/>
      <c r="F875" s="28"/>
      <c r="G875" s="28"/>
      <c r="H875" s="29"/>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9"/>
      <c r="C876" s="28"/>
      <c r="D876" s="28"/>
      <c r="E876" s="28"/>
      <c r="F876" s="28"/>
      <c r="G876" s="28"/>
      <c r="H876" s="29"/>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9"/>
      <c r="C877" s="28"/>
      <c r="D877" s="28"/>
      <c r="E877" s="28"/>
      <c r="F877" s="28"/>
      <c r="G877" s="28"/>
      <c r="H877" s="29"/>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9"/>
      <c r="C878" s="28"/>
      <c r="D878" s="28"/>
      <c r="E878" s="28"/>
      <c r="F878" s="28"/>
      <c r="G878" s="28"/>
      <c r="H878" s="29"/>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9"/>
      <c r="C879" s="28"/>
      <c r="D879" s="28"/>
      <c r="E879" s="28"/>
      <c r="F879" s="28"/>
      <c r="G879" s="28"/>
      <c r="H879" s="29"/>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9"/>
      <c r="C880" s="28"/>
      <c r="D880" s="28"/>
      <c r="E880" s="28"/>
      <c r="F880" s="28"/>
      <c r="G880" s="28"/>
      <c r="H880" s="29"/>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9"/>
      <c r="C881" s="28"/>
      <c r="D881" s="28"/>
      <c r="E881" s="28"/>
      <c r="F881" s="28"/>
      <c r="G881" s="28"/>
      <c r="H881" s="29"/>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9"/>
      <c r="C882" s="28"/>
      <c r="D882" s="28"/>
      <c r="E882" s="28"/>
      <c r="F882" s="28"/>
      <c r="G882" s="28"/>
      <c r="H882" s="29"/>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9"/>
      <c r="C883" s="28"/>
      <c r="D883" s="28"/>
      <c r="E883" s="28"/>
      <c r="F883" s="28"/>
      <c r="G883" s="28"/>
      <c r="H883" s="29"/>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9"/>
      <c r="C884" s="28"/>
      <c r="D884" s="28"/>
      <c r="E884" s="28"/>
      <c r="F884" s="28"/>
      <c r="G884" s="28"/>
      <c r="H884" s="29"/>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9"/>
      <c r="C885" s="28"/>
      <c r="D885" s="28"/>
      <c r="E885" s="28"/>
      <c r="F885" s="28"/>
      <c r="G885" s="28"/>
      <c r="H885" s="29"/>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9"/>
      <c r="C886" s="28"/>
      <c r="D886" s="28"/>
      <c r="E886" s="28"/>
      <c r="F886" s="28"/>
      <c r="G886" s="28"/>
      <c r="H886" s="29"/>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9"/>
      <c r="C887" s="28"/>
      <c r="D887" s="28"/>
      <c r="E887" s="28"/>
      <c r="F887" s="28"/>
      <c r="G887" s="28"/>
      <c r="H887" s="29"/>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9"/>
      <c r="C888" s="28"/>
      <c r="D888" s="28"/>
      <c r="E888" s="28"/>
      <c r="F888" s="28"/>
      <c r="G888" s="28"/>
      <c r="H888" s="29"/>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9"/>
      <c r="C889" s="28"/>
      <c r="D889" s="28"/>
      <c r="E889" s="28"/>
      <c r="F889" s="28"/>
      <c r="G889" s="28"/>
      <c r="H889" s="29"/>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9"/>
      <c r="C890" s="28"/>
      <c r="D890" s="28"/>
      <c r="E890" s="28"/>
      <c r="F890" s="28"/>
      <c r="G890" s="28"/>
      <c r="H890" s="29"/>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9"/>
      <c r="C891" s="28"/>
      <c r="D891" s="28"/>
      <c r="E891" s="28"/>
      <c r="F891" s="28"/>
      <c r="G891" s="28"/>
      <c r="H891" s="29"/>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9"/>
      <c r="C892" s="28"/>
      <c r="D892" s="28"/>
      <c r="E892" s="28"/>
      <c r="F892" s="28"/>
      <c r="G892" s="28"/>
      <c r="H892" s="29"/>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9"/>
      <c r="C893" s="28"/>
      <c r="D893" s="28"/>
      <c r="E893" s="28"/>
      <c r="F893" s="28"/>
      <c r="G893" s="28"/>
      <c r="H893" s="29"/>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9"/>
      <c r="C894" s="28"/>
      <c r="D894" s="28"/>
      <c r="E894" s="28"/>
      <c r="F894" s="28"/>
      <c r="G894" s="28"/>
      <c r="H894" s="29"/>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9"/>
      <c r="C895" s="28"/>
      <c r="D895" s="28"/>
      <c r="E895" s="28"/>
      <c r="F895" s="28"/>
      <c r="G895" s="28"/>
      <c r="H895" s="29"/>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9"/>
      <c r="C896" s="28"/>
      <c r="D896" s="28"/>
      <c r="E896" s="28"/>
      <c r="F896" s="28"/>
      <c r="G896" s="28"/>
      <c r="H896" s="29"/>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9"/>
      <c r="C897" s="28"/>
      <c r="D897" s="28"/>
      <c r="E897" s="28"/>
      <c r="F897" s="28"/>
      <c r="G897" s="28"/>
      <c r="H897" s="29"/>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9"/>
      <c r="C898" s="28"/>
      <c r="D898" s="28"/>
      <c r="E898" s="28"/>
      <c r="F898" s="28"/>
      <c r="G898" s="28"/>
      <c r="H898" s="29"/>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9"/>
      <c r="C899" s="28"/>
      <c r="D899" s="28"/>
      <c r="E899" s="28"/>
      <c r="F899" s="28"/>
      <c r="G899" s="28"/>
      <c r="H899" s="29"/>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9"/>
      <c r="C900" s="28"/>
      <c r="D900" s="28"/>
      <c r="E900" s="28"/>
      <c r="F900" s="28"/>
      <c r="G900" s="28"/>
      <c r="H900" s="29"/>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9"/>
      <c r="C901" s="28"/>
      <c r="D901" s="28"/>
      <c r="E901" s="28"/>
      <c r="F901" s="28"/>
      <c r="G901" s="28"/>
      <c r="H901" s="29"/>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9"/>
      <c r="C902" s="28"/>
      <c r="D902" s="28"/>
      <c r="E902" s="28"/>
      <c r="F902" s="28"/>
      <c r="G902" s="28"/>
      <c r="H902" s="29"/>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9"/>
      <c r="C903" s="28"/>
      <c r="D903" s="28"/>
      <c r="E903" s="28"/>
      <c r="F903" s="28"/>
      <c r="G903" s="28"/>
      <c r="H903" s="29"/>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9"/>
      <c r="C904" s="28"/>
      <c r="D904" s="28"/>
      <c r="E904" s="28"/>
      <c r="F904" s="28"/>
      <c r="G904" s="28"/>
      <c r="H904" s="29"/>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9"/>
      <c r="C905" s="28"/>
      <c r="D905" s="28"/>
      <c r="E905" s="28"/>
      <c r="F905" s="28"/>
      <c r="G905" s="28"/>
      <c r="H905" s="29"/>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9"/>
      <c r="C906" s="28"/>
      <c r="D906" s="28"/>
      <c r="E906" s="28"/>
      <c r="F906" s="28"/>
      <c r="G906" s="28"/>
      <c r="H906" s="29"/>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9"/>
      <c r="C907" s="28"/>
      <c r="D907" s="28"/>
      <c r="E907" s="28"/>
      <c r="F907" s="28"/>
      <c r="G907" s="28"/>
      <c r="H907" s="29"/>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9"/>
      <c r="C908" s="28"/>
      <c r="D908" s="28"/>
      <c r="E908" s="28"/>
      <c r="F908" s="28"/>
      <c r="G908" s="28"/>
      <c r="H908" s="29"/>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9"/>
      <c r="C909" s="28"/>
      <c r="D909" s="28"/>
      <c r="E909" s="28"/>
      <c r="F909" s="28"/>
      <c r="G909" s="28"/>
      <c r="H909" s="29"/>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9"/>
      <c r="C910" s="28"/>
      <c r="D910" s="28"/>
      <c r="E910" s="28"/>
      <c r="F910" s="28"/>
      <c r="G910" s="28"/>
      <c r="H910" s="29"/>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9"/>
      <c r="C911" s="28"/>
      <c r="D911" s="28"/>
      <c r="E911" s="28"/>
      <c r="F911" s="28"/>
      <c r="G911" s="28"/>
      <c r="H911" s="29"/>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9"/>
      <c r="C912" s="28"/>
      <c r="D912" s="28"/>
      <c r="E912" s="28"/>
      <c r="F912" s="28"/>
      <c r="G912" s="28"/>
      <c r="H912" s="29"/>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9"/>
      <c r="C913" s="28"/>
      <c r="D913" s="28"/>
      <c r="E913" s="28"/>
      <c r="F913" s="28"/>
      <c r="G913" s="28"/>
      <c r="H913" s="29"/>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9"/>
      <c r="C914" s="28"/>
      <c r="D914" s="28"/>
      <c r="E914" s="28"/>
      <c r="F914" s="28"/>
      <c r="G914" s="28"/>
      <c r="H914" s="29"/>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9"/>
      <c r="C915" s="28"/>
      <c r="D915" s="28"/>
      <c r="E915" s="28"/>
      <c r="F915" s="28"/>
      <c r="G915" s="28"/>
      <c r="H915" s="29"/>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9"/>
      <c r="C916" s="28"/>
      <c r="D916" s="28"/>
      <c r="E916" s="28"/>
      <c r="F916" s="28"/>
      <c r="G916" s="28"/>
      <c r="H916" s="29"/>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9"/>
      <c r="C917" s="28"/>
      <c r="D917" s="28"/>
      <c r="E917" s="28"/>
      <c r="F917" s="28"/>
      <c r="G917" s="28"/>
      <c r="H917" s="29"/>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9"/>
      <c r="C918" s="28"/>
      <c r="D918" s="28"/>
      <c r="E918" s="28"/>
      <c r="F918" s="28"/>
      <c r="G918" s="28"/>
      <c r="H918" s="29"/>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9"/>
      <c r="C919" s="28"/>
      <c r="D919" s="28"/>
      <c r="E919" s="28"/>
      <c r="F919" s="28"/>
      <c r="G919" s="28"/>
      <c r="H919" s="29"/>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9"/>
      <c r="C920" s="28"/>
      <c r="D920" s="28"/>
      <c r="E920" s="28"/>
      <c r="F920" s="28"/>
      <c r="G920" s="28"/>
      <c r="H920" s="29"/>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9"/>
      <c r="C921" s="28"/>
      <c r="D921" s="28"/>
      <c r="E921" s="28"/>
      <c r="F921" s="28"/>
      <c r="G921" s="28"/>
      <c r="H921" s="29"/>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9"/>
      <c r="C922" s="28"/>
      <c r="D922" s="28"/>
      <c r="E922" s="28"/>
      <c r="F922" s="28"/>
      <c r="G922" s="28"/>
      <c r="H922" s="29"/>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9"/>
      <c r="C923" s="28"/>
      <c r="D923" s="28"/>
      <c r="E923" s="28"/>
      <c r="F923" s="28"/>
      <c r="G923" s="28"/>
      <c r="H923" s="29"/>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9"/>
      <c r="C924" s="28"/>
      <c r="D924" s="28"/>
      <c r="E924" s="28"/>
      <c r="F924" s="28"/>
      <c r="G924" s="28"/>
      <c r="H924" s="29"/>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9"/>
      <c r="C925" s="28"/>
      <c r="D925" s="28"/>
      <c r="E925" s="28"/>
      <c r="F925" s="28"/>
      <c r="G925" s="28"/>
      <c r="H925" s="29"/>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9"/>
      <c r="C926" s="28"/>
      <c r="D926" s="28"/>
      <c r="E926" s="28"/>
      <c r="F926" s="28"/>
      <c r="G926" s="28"/>
      <c r="H926" s="29"/>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9"/>
      <c r="C927" s="28"/>
      <c r="D927" s="28"/>
      <c r="E927" s="28"/>
      <c r="F927" s="28"/>
      <c r="G927" s="28"/>
      <c r="H927" s="29"/>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9"/>
      <c r="C928" s="28"/>
      <c r="D928" s="28"/>
      <c r="E928" s="28"/>
      <c r="F928" s="28"/>
      <c r="G928" s="28"/>
      <c r="H928" s="29"/>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9"/>
      <c r="C929" s="28"/>
      <c r="D929" s="28"/>
      <c r="E929" s="28"/>
      <c r="F929" s="28"/>
      <c r="G929" s="28"/>
      <c r="H929" s="29"/>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9"/>
      <c r="C930" s="28"/>
      <c r="D930" s="28"/>
      <c r="E930" s="28"/>
      <c r="F930" s="28"/>
      <c r="G930" s="28"/>
      <c r="H930" s="29"/>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9"/>
      <c r="C931" s="28"/>
      <c r="D931" s="28"/>
      <c r="E931" s="28"/>
      <c r="F931" s="28"/>
      <c r="G931" s="28"/>
      <c r="H931" s="29"/>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9"/>
      <c r="C932" s="28"/>
      <c r="D932" s="28"/>
      <c r="E932" s="28"/>
      <c r="F932" s="28"/>
      <c r="G932" s="28"/>
      <c r="H932" s="29"/>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9"/>
      <c r="C933" s="28"/>
      <c r="D933" s="28"/>
      <c r="E933" s="28"/>
      <c r="F933" s="28"/>
      <c r="G933" s="28"/>
      <c r="H933" s="29"/>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9"/>
      <c r="C934" s="28"/>
      <c r="D934" s="28"/>
      <c r="E934" s="28"/>
      <c r="F934" s="28"/>
      <c r="G934" s="28"/>
      <c r="H934" s="29"/>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9"/>
      <c r="C935" s="28"/>
      <c r="D935" s="28"/>
      <c r="E935" s="28"/>
      <c r="F935" s="28"/>
      <c r="G935" s="28"/>
      <c r="H935" s="29"/>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9"/>
      <c r="C936" s="28"/>
      <c r="D936" s="28"/>
      <c r="E936" s="28"/>
      <c r="F936" s="28"/>
      <c r="G936" s="28"/>
      <c r="H936" s="29"/>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9"/>
      <c r="C937" s="28"/>
      <c r="D937" s="28"/>
      <c r="E937" s="28"/>
      <c r="F937" s="28"/>
      <c r="G937" s="28"/>
      <c r="H937" s="29"/>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9"/>
      <c r="C938" s="28"/>
      <c r="D938" s="28"/>
      <c r="E938" s="28"/>
      <c r="F938" s="28"/>
      <c r="G938" s="28"/>
      <c r="H938" s="29"/>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9"/>
      <c r="C939" s="28"/>
      <c r="D939" s="28"/>
      <c r="E939" s="28"/>
      <c r="F939" s="28"/>
      <c r="G939" s="28"/>
      <c r="H939" s="29"/>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9"/>
      <c r="C940" s="28"/>
      <c r="D940" s="28"/>
      <c r="E940" s="28"/>
      <c r="F940" s="28"/>
      <c r="G940" s="28"/>
      <c r="H940" s="29"/>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9"/>
      <c r="C941" s="28"/>
      <c r="D941" s="28"/>
      <c r="E941" s="28"/>
      <c r="F941" s="28"/>
      <c r="G941" s="28"/>
      <c r="H941" s="29"/>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9"/>
      <c r="C942" s="28"/>
      <c r="D942" s="28"/>
      <c r="E942" s="28"/>
      <c r="F942" s="28"/>
      <c r="G942" s="28"/>
      <c r="H942" s="29"/>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9"/>
      <c r="C943" s="28"/>
      <c r="D943" s="28"/>
      <c r="E943" s="28"/>
      <c r="F943" s="28"/>
      <c r="G943" s="28"/>
      <c r="H943" s="29"/>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9"/>
      <c r="C944" s="28"/>
      <c r="D944" s="28"/>
      <c r="E944" s="28"/>
      <c r="F944" s="28"/>
      <c r="G944" s="28"/>
      <c r="H944" s="29"/>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9"/>
      <c r="C945" s="28"/>
      <c r="D945" s="28"/>
      <c r="E945" s="28"/>
      <c r="F945" s="28"/>
      <c r="G945" s="28"/>
      <c r="H945" s="29"/>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9"/>
      <c r="C946" s="28"/>
      <c r="D946" s="28"/>
      <c r="E946" s="28"/>
      <c r="F946" s="28"/>
      <c r="G946" s="28"/>
      <c r="H946" s="29"/>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9"/>
      <c r="C947" s="28"/>
      <c r="D947" s="28"/>
      <c r="E947" s="28"/>
      <c r="F947" s="28"/>
      <c r="G947" s="28"/>
      <c r="H947" s="29"/>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9"/>
      <c r="C948" s="28"/>
      <c r="D948" s="28"/>
      <c r="E948" s="28"/>
      <c r="F948" s="28"/>
      <c r="G948" s="28"/>
      <c r="H948" s="29"/>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9"/>
      <c r="C949" s="28"/>
      <c r="D949" s="28"/>
      <c r="E949" s="28"/>
      <c r="F949" s="28"/>
      <c r="G949" s="28"/>
      <c r="H949" s="29"/>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9"/>
      <c r="C950" s="28"/>
      <c r="D950" s="28"/>
      <c r="E950" s="28"/>
      <c r="F950" s="28"/>
      <c r="G950" s="28"/>
      <c r="H950" s="29"/>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9"/>
      <c r="C951" s="28"/>
      <c r="D951" s="28"/>
      <c r="E951" s="28"/>
      <c r="F951" s="28"/>
      <c r="G951" s="28"/>
      <c r="H951" s="29"/>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9"/>
      <c r="C952" s="28"/>
      <c r="D952" s="28"/>
      <c r="E952" s="28"/>
      <c r="F952" s="28"/>
      <c r="G952" s="28"/>
      <c r="H952" s="29"/>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9"/>
      <c r="C953" s="28"/>
      <c r="D953" s="28"/>
      <c r="E953" s="28"/>
      <c r="F953" s="28"/>
      <c r="G953" s="28"/>
      <c r="H953" s="29"/>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9"/>
      <c r="C954" s="28"/>
      <c r="D954" s="28"/>
      <c r="E954" s="28"/>
      <c r="F954" s="28"/>
      <c r="G954" s="28"/>
      <c r="H954" s="29"/>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9"/>
      <c r="C955" s="28"/>
      <c r="D955" s="28"/>
      <c r="E955" s="28"/>
      <c r="F955" s="28"/>
      <c r="G955" s="28"/>
      <c r="H955" s="29"/>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9"/>
      <c r="C956" s="28"/>
      <c r="D956" s="28"/>
      <c r="E956" s="28"/>
      <c r="F956" s="28"/>
      <c r="G956" s="28"/>
      <c r="H956" s="29"/>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9"/>
      <c r="C957" s="28"/>
      <c r="D957" s="28"/>
      <c r="E957" s="28"/>
      <c r="F957" s="28"/>
      <c r="G957" s="28"/>
      <c r="H957" s="29"/>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9"/>
      <c r="C958" s="28"/>
      <c r="D958" s="28"/>
      <c r="E958" s="28"/>
      <c r="F958" s="28"/>
      <c r="G958" s="28"/>
      <c r="H958" s="29"/>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9"/>
      <c r="C959" s="28"/>
      <c r="D959" s="28"/>
      <c r="E959" s="28"/>
      <c r="F959" s="28"/>
      <c r="G959" s="28"/>
      <c r="H959" s="29"/>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9"/>
      <c r="C960" s="28"/>
      <c r="D960" s="28"/>
      <c r="E960" s="28"/>
      <c r="F960" s="28"/>
      <c r="G960" s="28"/>
      <c r="H960" s="29"/>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9"/>
      <c r="C961" s="28"/>
      <c r="D961" s="28"/>
      <c r="E961" s="28"/>
      <c r="F961" s="28"/>
      <c r="G961" s="28"/>
      <c r="H961" s="29"/>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9"/>
      <c r="C962" s="28"/>
      <c r="D962" s="28"/>
      <c r="E962" s="28"/>
      <c r="F962" s="28"/>
      <c r="G962" s="28"/>
      <c r="H962" s="29"/>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9"/>
      <c r="C963" s="28"/>
      <c r="D963" s="28"/>
      <c r="E963" s="28"/>
      <c r="F963" s="28"/>
      <c r="G963" s="28"/>
      <c r="H963" s="29"/>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9"/>
      <c r="C964" s="28"/>
      <c r="D964" s="28"/>
      <c r="E964" s="28"/>
      <c r="F964" s="28"/>
      <c r="G964" s="28"/>
      <c r="H964" s="29"/>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9"/>
      <c r="C965" s="28"/>
      <c r="D965" s="28"/>
      <c r="E965" s="28"/>
      <c r="F965" s="28"/>
      <c r="G965" s="28"/>
      <c r="H965" s="29"/>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9"/>
      <c r="C966" s="28"/>
      <c r="D966" s="28"/>
      <c r="E966" s="28"/>
      <c r="F966" s="28"/>
      <c r="G966" s="28"/>
      <c r="H966" s="29"/>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9"/>
      <c r="C967" s="28"/>
      <c r="D967" s="28"/>
      <c r="E967" s="28"/>
      <c r="F967" s="28"/>
      <c r="G967" s="28"/>
      <c r="H967" s="29"/>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9"/>
      <c r="C968" s="28"/>
      <c r="D968" s="28"/>
      <c r="E968" s="28"/>
      <c r="F968" s="28"/>
      <c r="G968" s="28"/>
      <c r="H968" s="29"/>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9"/>
      <c r="C969" s="28"/>
      <c r="D969" s="28"/>
      <c r="E969" s="28"/>
      <c r="F969" s="28"/>
      <c r="G969" s="28"/>
      <c r="H969" s="29"/>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9"/>
      <c r="C970" s="28"/>
      <c r="D970" s="28"/>
      <c r="E970" s="28"/>
      <c r="F970" s="28"/>
      <c r="G970" s="28"/>
      <c r="H970" s="29"/>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9"/>
      <c r="C971" s="28"/>
      <c r="D971" s="28"/>
      <c r="E971" s="28"/>
      <c r="F971" s="28"/>
      <c r="G971" s="28"/>
      <c r="H971" s="29"/>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9"/>
      <c r="C972" s="28"/>
      <c r="D972" s="28"/>
      <c r="E972" s="28"/>
      <c r="F972" s="28"/>
      <c r="G972" s="28"/>
      <c r="H972" s="29"/>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9"/>
      <c r="C973" s="28"/>
      <c r="D973" s="28"/>
      <c r="E973" s="28"/>
      <c r="F973" s="28"/>
      <c r="G973" s="28"/>
      <c r="H973" s="29"/>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9"/>
      <c r="C974" s="28"/>
      <c r="D974" s="28"/>
      <c r="E974" s="28"/>
      <c r="F974" s="28"/>
      <c r="G974" s="28"/>
      <c r="H974" s="29"/>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9"/>
      <c r="C975" s="28"/>
      <c r="D975" s="28"/>
      <c r="E975" s="28"/>
      <c r="F975" s="28"/>
      <c r="G975" s="28"/>
      <c r="H975" s="29"/>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9"/>
      <c r="C976" s="28"/>
      <c r="D976" s="28"/>
      <c r="E976" s="28"/>
      <c r="F976" s="28"/>
      <c r="G976" s="28"/>
      <c r="H976" s="29"/>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9"/>
      <c r="C977" s="28"/>
      <c r="D977" s="28"/>
      <c r="E977" s="28"/>
      <c r="F977" s="28"/>
      <c r="G977" s="28"/>
      <c r="H977" s="29"/>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9"/>
      <c r="C978" s="28"/>
      <c r="D978" s="28"/>
      <c r="E978" s="28"/>
      <c r="F978" s="28"/>
      <c r="G978" s="28"/>
      <c r="H978" s="29"/>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9"/>
      <c r="C979" s="28"/>
      <c r="D979" s="28"/>
      <c r="E979" s="28"/>
      <c r="F979" s="28"/>
      <c r="G979" s="28"/>
      <c r="H979" s="29"/>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9"/>
      <c r="C980" s="28"/>
      <c r="D980" s="28"/>
      <c r="E980" s="28"/>
      <c r="F980" s="28"/>
      <c r="G980" s="28"/>
      <c r="H980" s="29"/>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9"/>
      <c r="C981" s="28"/>
      <c r="D981" s="28"/>
      <c r="E981" s="28"/>
      <c r="F981" s="28"/>
      <c r="G981" s="28"/>
      <c r="H981" s="29"/>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9"/>
      <c r="C982" s="28"/>
      <c r="D982" s="28"/>
      <c r="E982" s="28"/>
      <c r="F982" s="28"/>
      <c r="G982" s="28"/>
      <c r="H982" s="29"/>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9"/>
      <c r="C983" s="28"/>
      <c r="D983" s="28"/>
      <c r="E983" s="28"/>
      <c r="F983" s="28"/>
      <c r="G983" s="28"/>
      <c r="H983" s="29"/>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9"/>
      <c r="C984" s="28"/>
      <c r="D984" s="28"/>
      <c r="E984" s="28"/>
      <c r="F984" s="28"/>
      <c r="G984" s="28"/>
      <c r="H984" s="29"/>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9"/>
      <c r="C985" s="28"/>
      <c r="D985" s="28"/>
      <c r="E985" s="28"/>
      <c r="F985" s="28"/>
      <c r="G985" s="28"/>
      <c r="H985" s="29"/>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9"/>
      <c r="C986" s="28"/>
      <c r="D986" s="28"/>
      <c r="E986" s="28"/>
      <c r="F986" s="28"/>
      <c r="G986" s="28"/>
      <c r="H986" s="29"/>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9"/>
      <c r="C987" s="28"/>
      <c r="D987" s="28"/>
      <c r="E987" s="28"/>
      <c r="F987" s="28"/>
      <c r="G987" s="28"/>
      <c r="H987" s="29"/>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9"/>
      <c r="C988" s="28"/>
      <c r="D988" s="28"/>
      <c r="E988" s="28"/>
      <c r="F988" s="28"/>
      <c r="G988" s="28"/>
      <c r="H988" s="29"/>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9"/>
      <c r="C989" s="28"/>
      <c r="D989" s="28"/>
      <c r="E989" s="28"/>
      <c r="F989" s="28"/>
      <c r="G989" s="28"/>
      <c r="H989" s="29"/>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9"/>
      <c r="C990" s="28"/>
      <c r="D990" s="28"/>
      <c r="E990" s="28"/>
      <c r="F990" s="28"/>
      <c r="G990" s="28"/>
      <c r="H990" s="29"/>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9"/>
      <c r="C991" s="28"/>
      <c r="D991" s="28"/>
      <c r="E991" s="28"/>
      <c r="F991" s="28"/>
      <c r="G991" s="28"/>
      <c r="H991" s="29"/>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9"/>
      <c r="C992" s="28"/>
      <c r="D992" s="28"/>
      <c r="E992" s="28"/>
      <c r="F992" s="28"/>
      <c r="G992" s="28"/>
      <c r="H992" s="29"/>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9"/>
      <c r="C993" s="28"/>
      <c r="D993" s="28"/>
      <c r="E993" s="28"/>
      <c r="F993" s="28"/>
      <c r="G993" s="28"/>
      <c r="H993" s="29"/>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9"/>
      <c r="C994" s="28"/>
      <c r="D994" s="28"/>
      <c r="E994" s="28"/>
      <c r="F994" s="28"/>
      <c r="G994" s="28"/>
      <c r="H994" s="29"/>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9"/>
      <c r="C995" s="28"/>
      <c r="D995" s="28"/>
      <c r="E995" s="28"/>
      <c r="F995" s="28"/>
      <c r="G995" s="28"/>
      <c r="H995" s="29"/>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9"/>
      <c r="C996" s="28"/>
      <c r="D996" s="28"/>
      <c r="E996" s="28"/>
      <c r="F996" s="28"/>
      <c r="G996" s="28"/>
      <c r="H996" s="29"/>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9"/>
      <c r="C997" s="28"/>
      <c r="D997" s="28"/>
      <c r="E997" s="28"/>
      <c r="F997" s="28"/>
      <c r="G997" s="28"/>
      <c r="H997" s="29"/>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9"/>
      <c r="C998" s="28"/>
      <c r="D998" s="28"/>
      <c r="E998" s="28"/>
      <c r="F998" s="28"/>
      <c r="G998" s="28"/>
      <c r="H998" s="29"/>
      <c r="I998" s="28"/>
      <c r="J998" s="28"/>
      <c r="K998" s="28"/>
      <c r="L998" s="28"/>
      <c r="M998" s="28"/>
      <c r="N998" s="28"/>
      <c r="O998" s="28"/>
      <c r="P998" s="28"/>
      <c r="Q998" s="28"/>
      <c r="R998" s="28"/>
      <c r="S998" s="28"/>
      <c r="T998" s="28"/>
      <c r="U998" s="28"/>
      <c r="V998" s="28"/>
      <c r="W998" s="28"/>
      <c r="X998" s="28"/>
      <c r="Y998" s="28"/>
      <c r="Z998" s="28"/>
      <c r="AA998" s="28"/>
    </row>
    <row r="999" ht="13.5" customHeight="1">
      <c r="A999" s="28"/>
      <c r="B999" s="29"/>
      <c r="C999" s="28"/>
      <c r="D999" s="28"/>
      <c r="E999" s="28"/>
      <c r="F999" s="28"/>
      <c r="G999" s="28"/>
      <c r="H999" s="29"/>
      <c r="I999" s="28"/>
      <c r="J999" s="28"/>
      <c r="K999" s="28"/>
      <c r="L999" s="28"/>
      <c r="M999" s="28"/>
      <c r="N999" s="28"/>
      <c r="O999" s="28"/>
      <c r="P999" s="28"/>
      <c r="Q999" s="28"/>
      <c r="R999" s="28"/>
      <c r="S999" s="28"/>
      <c r="T999" s="28"/>
      <c r="U999" s="28"/>
      <c r="V999" s="28"/>
      <c r="W999" s="28"/>
      <c r="X999" s="28"/>
      <c r="Y999" s="28"/>
      <c r="Z999" s="28"/>
      <c r="AA999" s="28"/>
    </row>
    <row r="1000" ht="13.5" customHeight="1">
      <c r="A1000" s="28"/>
      <c r="B1000" s="29"/>
      <c r="C1000" s="28"/>
      <c r="D1000" s="28"/>
      <c r="E1000" s="28"/>
      <c r="F1000" s="28"/>
      <c r="G1000" s="28"/>
      <c r="H1000" s="29"/>
      <c r="I1000" s="28"/>
      <c r="J1000" s="28"/>
      <c r="K1000" s="28"/>
      <c r="L1000" s="28"/>
      <c r="M1000" s="28"/>
      <c r="N1000" s="28"/>
      <c r="O1000" s="28"/>
      <c r="P1000" s="28"/>
      <c r="Q1000" s="28"/>
      <c r="R1000" s="28"/>
      <c r="S1000" s="28"/>
      <c r="T1000" s="28"/>
      <c r="U1000" s="28"/>
      <c r="V1000" s="28"/>
      <c r="W1000" s="28"/>
      <c r="X1000" s="28"/>
      <c r="Y1000" s="28"/>
      <c r="Z1000" s="28"/>
      <c r="AA1000" s="28"/>
    </row>
    <row r="1001" ht="13.5" customHeight="1">
      <c r="A1001" s="28"/>
      <c r="B1001" s="29"/>
      <c r="C1001" s="28"/>
      <c r="D1001" s="28"/>
      <c r="E1001" s="28"/>
      <c r="F1001" s="28"/>
      <c r="G1001" s="28"/>
      <c r="H1001" s="29"/>
      <c r="I1001" s="28"/>
      <c r="J1001" s="28"/>
      <c r="K1001" s="28"/>
      <c r="L1001" s="28"/>
      <c r="M1001" s="28"/>
      <c r="N1001" s="28"/>
      <c r="O1001" s="28"/>
      <c r="P1001" s="28"/>
      <c r="Q1001" s="28"/>
      <c r="R1001" s="28"/>
      <c r="S1001" s="28"/>
      <c r="T1001" s="28"/>
      <c r="U1001" s="28"/>
      <c r="V1001" s="28"/>
      <c r="W1001" s="28"/>
      <c r="X1001" s="28"/>
      <c r="Y1001" s="28"/>
      <c r="Z1001" s="28"/>
      <c r="AA1001" s="28"/>
    </row>
  </sheetData>
  <mergeCells count="24">
    <mergeCell ref="A4:A22"/>
    <mergeCell ref="B4:B22"/>
    <mergeCell ref="A23:A26"/>
    <mergeCell ref="B23:B26"/>
    <mergeCell ref="A27:A29"/>
    <mergeCell ref="B27:B29"/>
    <mergeCell ref="B30:B31"/>
    <mergeCell ref="A30:A31"/>
    <mergeCell ref="A32:A35"/>
    <mergeCell ref="B32:B35"/>
    <mergeCell ref="A36:A43"/>
    <mergeCell ref="B36:B43"/>
    <mergeCell ref="A44:A46"/>
    <mergeCell ref="B44:B46"/>
    <mergeCell ref="A65:A69"/>
    <mergeCell ref="A70:A72"/>
    <mergeCell ref="A47:A52"/>
    <mergeCell ref="B47:B52"/>
    <mergeCell ref="A53:A57"/>
    <mergeCell ref="B53:B57"/>
    <mergeCell ref="A58:A64"/>
    <mergeCell ref="B58:B64"/>
    <mergeCell ref="B65:B69"/>
    <mergeCell ref="B70:B72"/>
  </mergeCell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5" t="s">
        <v>250</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5"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251</v>
      </c>
      <c r="B4" s="36" t="s">
        <v>252</v>
      </c>
      <c r="C4" s="28" t="s">
        <v>253</v>
      </c>
      <c r="D4" s="28" t="s">
        <v>254</v>
      </c>
      <c r="H4" s="10">
        <v>0.0</v>
      </c>
      <c r="L4" s="28"/>
      <c r="M4" s="28"/>
      <c r="N4" s="28"/>
      <c r="O4" s="28"/>
      <c r="P4" s="28"/>
      <c r="Q4" s="28"/>
      <c r="R4" s="28"/>
      <c r="S4" s="28"/>
      <c r="T4" s="28"/>
      <c r="U4" s="28"/>
      <c r="V4" s="28"/>
      <c r="W4" s="28"/>
      <c r="X4" s="28"/>
      <c r="Y4" s="28"/>
      <c r="Z4" s="28"/>
      <c r="AA4" s="28"/>
    </row>
    <row r="5" ht="13.5" customHeight="1">
      <c r="C5" s="28" t="s">
        <v>255</v>
      </c>
      <c r="D5" s="28" t="s">
        <v>256</v>
      </c>
      <c r="E5" s="28"/>
      <c r="F5" s="28"/>
      <c r="G5" s="28"/>
      <c r="H5" s="31">
        <v>100.0</v>
      </c>
      <c r="I5" s="28"/>
      <c r="K5" s="28"/>
      <c r="L5" s="28"/>
      <c r="M5" s="28"/>
      <c r="N5" s="28"/>
      <c r="O5" s="28"/>
      <c r="P5" s="28"/>
      <c r="Q5" s="28"/>
      <c r="R5" s="28"/>
      <c r="S5" s="28"/>
      <c r="T5" s="28"/>
      <c r="U5" s="28"/>
      <c r="V5" s="28"/>
      <c r="W5" s="28"/>
      <c r="X5" s="28"/>
      <c r="Y5" s="28"/>
      <c r="Z5" s="28"/>
      <c r="AA5" s="28"/>
    </row>
    <row r="6" ht="13.5" customHeight="1">
      <c r="C6" s="28" t="s">
        <v>257</v>
      </c>
      <c r="D6" s="28" t="s">
        <v>258</v>
      </c>
      <c r="E6" s="28"/>
      <c r="F6" s="28"/>
      <c r="G6" s="28"/>
      <c r="H6" s="28" t="s">
        <v>69</v>
      </c>
      <c r="I6" s="28"/>
      <c r="J6" s="33" t="s">
        <v>259</v>
      </c>
      <c r="K6" s="28"/>
      <c r="L6" s="28"/>
      <c r="M6" s="28"/>
      <c r="N6" s="28"/>
      <c r="O6" s="28"/>
      <c r="P6" s="28"/>
      <c r="Q6" s="28"/>
      <c r="R6" s="28"/>
      <c r="S6" s="28"/>
      <c r="T6" s="28"/>
      <c r="U6" s="28"/>
      <c r="V6" s="28"/>
      <c r="W6" s="28"/>
      <c r="X6" s="28"/>
      <c r="Y6" s="28"/>
      <c r="Z6" s="28"/>
      <c r="AA6" s="28"/>
    </row>
    <row r="7" ht="13.5" customHeight="1">
      <c r="C7" s="28" t="s">
        <v>260</v>
      </c>
      <c r="D7" s="28" t="s">
        <v>261</v>
      </c>
      <c r="E7" s="28"/>
      <c r="F7" s="28"/>
      <c r="G7" s="28"/>
      <c r="H7" s="28" t="s">
        <v>72</v>
      </c>
      <c r="I7" s="28"/>
      <c r="J7" s="28"/>
      <c r="K7" s="28"/>
      <c r="L7" s="28"/>
      <c r="M7" s="28"/>
      <c r="N7" s="28"/>
      <c r="O7" s="28"/>
      <c r="P7" s="28"/>
      <c r="Q7" s="28"/>
      <c r="R7" s="28"/>
      <c r="S7" s="28"/>
      <c r="T7" s="28"/>
      <c r="U7" s="28"/>
      <c r="V7" s="28"/>
      <c r="W7" s="28"/>
      <c r="X7" s="28"/>
      <c r="Y7" s="28"/>
      <c r="Z7" s="28"/>
      <c r="AA7" s="28"/>
    </row>
    <row r="8" ht="13.5" customHeight="1">
      <c r="C8" s="28" t="s">
        <v>262</v>
      </c>
      <c r="D8" s="28" t="s">
        <v>263</v>
      </c>
      <c r="E8" s="28"/>
      <c r="F8" s="28"/>
      <c r="G8" s="28"/>
      <c r="H8" s="28" t="s">
        <v>75</v>
      </c>
      <c r="I8" s="28"/>
      <c r="J8" s="28"/>
      <c r="K8" s="28"/>
      <c r="L8" s="28"/>
      <c r="M8" s="28"/>
      <c r="N8" s="28"/>
      <c r="O8" s="28"/>
      <c r="P8" s="28"/>
      <c r="Q8" s="28"/>
      <c r="R8" s="28"/>
      <c r="S8" s="28"/>
      <c r="T8" s="28"/>
      <c r="U8" s="28"/>
      <c r="V8" s="28"/>
      <c r="W8" s="28"/>
      <c r="X8" s="28"/>
      <c r="Y8" s="28"/>
      <c r="Z8" s="28"/>
      <c r="AA8" s="28"/>
    </row>
    <row r="9" ht="13.5" customHeight="1">
      <c r="C9" s="28" t="s">
        <v>264</v>
      </c>
      <c r="D9" s="28" t="s">
        <v>265</v>
      </c>
      <c r="E9" s="28"/>
      <c r="F9" s="28"/>
      <c r="G9" s="28"/>
      <c r="H9" s="28" t="s">
        <v>78</v>
      </c>
      <c r="I9" s="28"/>
      <c r="J9" s="28"/>
      <c r="K9" s="28"/>
      <c r="L9" s="28"/>
      <c r="M9" s="28"/>
      <c r="N9" s="28"/>
      <c r="O9" s="28"/>
      <c r="P9" s="28"/>
      <c r="Q9" s="28"/>
      <c r="R9" s="28"/>
      <c r="S9" s="28"/>
      <c r="T9" s="28"/>
      <c r="U9" s="28"/>
      <c r="V9" s="28"/>
      <c r="W9" s="28"/>
      <c r="X9" s="28"/>
      <c r="Y9" s="28"/>
      <c r="Z9" s="28"/>
      <c r="AA9" s="28"/>
    </row>
    <row r="10" ht="13.5" customHeight="1">
      <c r="C10" s="28" t="s">
        <v>266</v>
      </c>
      <c r="D10" s="28" t="s">
        <v>267</v>
      </c>
      <c r="E10" s="28"/>
      <c r="F10" s="28"/>
      <c r="G10" s="28"/>
      <c r="H10" s="28" t="s">
        <v>81</v>
      </c>
      <c r="I10" s="28"/>
      <c r="J10" s="28"/>
      <c r="K10" s="28"/>
      <c r="L10" s="28"/>
      <c r="M10" s="28"/>
      <c r="N10" s="28"/>
      <c r="O10" s="28"/>
      <c r="P10" s="28"/>
      <c r="Q10" s="28"/>
      <c r="R10" s="28"/>
      <c r="S10" s="28"/>
      <c r="T10" s="28"/>
      <c r="U10" s="28"/>
      <c r="V10" s="28"/>
      <c r="W10" s="28"/>
      <c r="X10" s="28"/>
      <c r="Y10" s="28"/>
      <c r="Z10" s="28"/>
      <c r="AA10" s="28"/>
    </row>
    <row r="11" ht="13.5" customHeight="1">
      <c r="C11" s="28" t="s">
        <v>268</v>
      </c>
      <c r="D11" s="28" t="s">
        <v>269</v>
      </c>
      <c r="E11" s="28"/>
      <c r="F11" s="28"/>
      <c r="G11" s="28"/>
      <c r="H11" s="28" t="s">
        <v>84</v>
      </c>
      <c r="I11" s="28"/>
      <c r="J11" s="28"/>
      <c r="K11" s="28"/>
      <c r="L11" s="28"/>
      <c r="M11" s="28"/>
      <c r="N11" s="28"/>
      <c r="O11" s="28"/>
      <c r="P11" s="28"/>
      <c r="Q11" s="28"/>
      <c r="R11" s="28"/>
      <c r="S11" s="28"/>
      <c r="T11" s="28"/>
      <c r="U11" s="28"/>
      <c r="V11" s="28"/>
      <c r="W11" s="28"/>
      <c r="X11" s="28"/>
      <c r="Y11" s="28"/>
      <c r="Z11" s="28"/>
      <c r="AA11" s="28"/>
    </row>
    <row r="12" ht="13.5" customHeight="1">
      <c r="C12" s="28" t="s">
        <v>270</v>
      </c>
      <c r="D12" s="34" t="s">
        <v>271</v>
      </c>
      <c r="E12" s="28"/>
      <c r="F12" s="28"/>
      <c r="G12" s="31" t="s">
        <v>272</v>
      </c>
      <c r="H12" s="28" t="s">
        <v>87</v>
      </c>
      <c r="I12" s="28"/>
      <c r="J12" s="33" t="s">
        <v>273</v>
      </c>
      <c r="K12" s="28"/>
      <c r="L12" s="28"/>
      <c r="M12" s="28"/>
      <c r="N12" s="28"/>
      <c r="O12" s="28"/>
      <c r="P12" s="28"/>
      <c r="Q12" s="28"/>
      <c r="R12" s="28"/>
      <c r="S12" s="28"/>
      <c r="T12" s="28"/>
      <c r="U12" s="28"/>
      <c r="V12" s="28"/>
      <c r="W12" s="28"/>
      <c r="X12" s="28"/>
      <c r="Y12" s="28"/>
      <c r="Z12" s="28"/>
      <c r="AA12" s="28"/>
    </row>
    <row r="13" ht="13.5" customHeight="1">
      <c r="C13" s="31" t="s">
        <v>274</v>
      </c>
      <c r="D13" s="33" t="s">
        <v>275</v>
      </c>
      <c r="E13" s="36"/>
      <c r="F13" s="28"/>
      <c r="G13" s="31" t="s">
        <v>276</v>
      </c>
      <c r="H13" s="28" t="s">
        <v>90</v>
      </c>
      <c r="I13" s="28"/>
      <c r="J13" s="33" t="s">
        <v>277</v>
      </c>
      <c r="K13" s="28"/>
      <c r="L13" s="28"/>
      <c r="M13" s="28"/>
      <c r="N13" s="28"/>
      <c r="O13" s="28"/>
      <c r="P13" s="28"/>
      <c r="Q13" s="28"/>
      <c r="R13" s="28"/>
      <c r="S13" s="28"/>
      <c r="T13" s="28"/>
      <c r="U13" s="28"/>
      <c r="V13" s="28"/>
      <c r="W13" s="28"/>
      <c r="X13" s="28"/>
      <c r="Y13" s="28"/>
      <c r="Z13" s="28"/>
      <c r="AA13" s="28"/>
    </row>
    <row r="14" ht="13.5" customHeight="1">
      <c r="C14" s="28" t="s">
        <v>278</v>
      </c>
      <c r="D14" s="31" t="s">
        <v>279</v>
      </c>
      <c r="E14" s="28"/>
      <c r="F14" s="28"/>
      <c r="G14" s="28"/>
      <c r="H14" s="28" t="s">
        <v>93</v>
      </c>
      <c r="I14" s="28"/>
      <c r="J14" s="28"/>
      <c r="K14" s="28"/>
      <c r="L14" s="28"/>
      <c r="M14" s="28"/>
      <c r="N14" s="28"/>
      <c r="O14" s="28"/>
      <c r="P14" s="28"/>
      <c r="Q14" s="28"/>
      <c r="R14" s="28"/>
      <c r="S14" s="28"/>
      <c r="T14" s="28"/>
      <c r="U14" s="28"/>
      <c r="V14" s="28"/>
      <c r="W14" s="28"/>
      <c r="X14" s="28"/>
      <c r="Y14" s="28"/>
      <c r="Z14" s="28"/>
      <c r="AA14" s="28"/>
    </row>
    <row r="15" ht="13.5" customHeight="1">
      <c r="A15" s="6" t="s">
        <v>280</v>
      </c>
      <c r="B15" s="6" t="s">
        <v>281</v>
      </c>
      <c r="C15" s="28" t="s">
        <v>282</v>
      </c>
      <c r="D15" s="28" t="s">
        <v>283</v>
      </c>
      <c r="E15" s="28"/>
      <c r="F15" s="28"/>
      <c r="G15" s="28"/>
      <c r="H15" s="28" t="s">
        <v>128</v>
      </c>
      <c r="I15" s="28"/>
      <c r="J15" s="28"/>
      <c r="K15" s="28"/>
      <c r="L15" s="28"/>
      <c r="M15" s="28"/>
      <c r="N15" s="28"/>
      <c r="O15" s="28"/>
      <c r="P15" s="28"/>
      <c r="Q15" s="28"/>
      <c r="R15" s="28"/>
      <c r="S15" s="28"/>
      <c r="T15" s="28"/>
      <c r="U15" s="28"/>
      <c r="V15" s="28"/>
      <c r="W15" s="28"/>
      <c r="X15" s="28"/>
      <c r="Y15" s="28"/>
      <c r="Z15" s="28"/>
      <c r="AA15" s="28"/>
    </row>
    <row r="16" ht="13.5" customHeight="1">
      <c r="C16" s="28" t="s">
        <v>284</v>
      </c>
      <c r="D16" s="28" t="s">
        <v>285</v>
      </c>
      <c r="E16" s="28"/>
      <c r="F16" s="28"/>
      <c r="G16" s="28"/>
      <c r="H16" s="28" t="s">
        <v>66</v>
      </c>
      <c r="I16" s="28"/>
      <c r="J16" s="28"/>
      <c r="K16" s="28"/>
      <c r="L16" s="28"/>
      <c r="M16" s="28"/>
      <c r="N16" s="28"/>
      <c r="O16" s="28"/>
      <c r="P16" s="28"/>
      <c r="Q16" s="28"/>
      <c r="R16" s="28"/>
      <c r="S16" s="28"/>
      <c r="T16" s="28"/>
      <c r="U16" s="28"/>
      <c r="V16" s="28"/>
      <c r="W16" s="28"/>
      <c r="X16" s="28"/>
      <c r="Y16" s="28"/>
      <c r="Z16" s="28"/>
      <c r="AA16" s="28"/>
    </row>
    <row r="17" ht="13.5" customHeight="1">
      <c r="C17" s="28" t="s">
        <v>286</v>
      </c>
      <c r="D17" s="28" t="s">
        <v>287</v>
      </c>
      <c r="E17" s="28"/>
      <c r="F17" s="28"/>
      <c r="G17" s="28"/>
      <c r="H17" s="28" t="s">
        <v>69</v>
      </c>
      <c r="I17" s="28"/>
      <c r="J17" s="28"/>
      <c r="K17" s="28"/>
      <c r="L17" s="28"/>
      <c r="M17" s="28"/>
      <c r="N17" s="28"/>
      <c r="O17" s="28"/>
      <c r="P17" s="28"/>
      <c r="Q17" s="28"/>
      <c r="R17" s="28"/>
      <c r="S17" s="28"/>
      <c r="T17" s="28"/>
      <c r="U17" s="28"/>
      <c r="V17" s="28"/>
      <c r="W17" s="28"/>
      <c r="X17" s="28"/>
      <c r="Y17" s="28"/>
      <c r="Z17" s="28"/>
      <c r="AA17" s="28"/>
    </row>
    <row r="18" ht="13.5" customHeight="1">
      <c r="C18" s="31" t="s">
        <v>288</v>
      </c>
      <c r="D18" s="31" t="s">
        <v>289</v>
      </c>
      <c r="E18" s="28"/>
      <c r="F18" s="28"/>
      <c r="G18" s="28"/>
      <c r="H18" s="28" t="s">
        <v>72</v>
      </c>
      <c r="I18" s="28"/>
      <c r="J18" s="28"/>
      <c r="K18" s="28"/>
      <c r="L18" s="28"/>
      <c r="M18" s="28"/>
      <c r="N18" s="28"/>
      <c r="O18" s="28"/>
      <c r="P18" s="28"/>
      <c r="Q18" s="28"/>
      <c r="R18" s="28"/>
      <c r="S18" s="28"/>
      <c r="T18" s="28"/>
      <c r="U18" s="28"/>
      <c r="V18" s="28"/>
      <c r="W18" s="28"/>
      <c r="X18" s="28"/>
      <c r="Y18" s="28"/>
      <c r="Z18" s="28"/>
      <c r="AA18" s="28"/>
    </row>
    <row r="19" ht="13.5" customHeight="1">
      <c r="C19" s="28" t="s">
        <v>290</v>
      </c>
      <c r="D19" s="31" t="s">
        <v>291</v>
      </c>
      <c r="E19" s="28"/>
      <c r="F19" s="28"/>
      <c r="G19" s="28"/>
      <c r="H19" s="28" t="s">
        <v>75</v>
      </c>
      <c r="I19" s="28"/>
      <c r="J19" s="28"/>
      <c r="K19" s="28"/>
      <c r="L19" s="28"/>
      <c r="M19" s="28"/>
      <c r="N19" s="28"/>
      <c r="O19" s="28"/>
      <c r="P19" s="28"/>
      <c r="Q19" s="28"/>
      <c r="R19" s="28"/>
      <c r="S19" s="28"/>
      <c r="T19" s="28"/>
      <c r="U19" s="28"/>
      <c r="V19" s="28"/>
      <c r="W19" s="28"/>
      <c r="X19" s="28"/>
      <c r="Y19" s="28"/>
      <c r="Z19" s="28"/>
      <c r="AA19" s="28"/>
    </row>
    <row r="20" ht="13.5" customHeight="1">
      <c r="A20" s="28" t="s">
        <v>292</v>
      </c>
      <c r="B20" s="28" t="s">
        <v>293</v>
      </c>
      <c r="C20" s="28" t="s">
        <v>294</v>
      </c>
      <c r="D20" s="28" t="s">
        <v>293</v>
      </c>
      <c r="E20" s="33" t="s">
        <v>295</v>
      </c>
      <c r="F20" s="37" t="s">
        <v>296</v>
      </c>
      <c r="G20" s="28"/>
      <c r="H20" s="28" t="s">
        <v>128</v>
      </c>
      <c r="I20" s="28"/>
      <c r="J20" s="28"/>
      <c r="K20" s="31" t="s">
        <v>297</v>
      </c>
      <c r="L20" s="28"/>
      <c r="M20" s="28"/>
      <c r="N20" s="28"/>
      <c r="O20" s="28"/>
      <c r="P20" s="28"/>
      <c r="Q20" s="28"/>
      <c r="R20" s="28"/>
      <c r="S20" s="28"/>
      <c r="T20" s="28"/>
      <c r="U20" s="28"/>
      <c r="V20" s="28"/>
      <c r="W20" s="28"/>
      <c r="X20" s="28"/>
      <c r="Y20" s="28"/>
      <c r="Z20" s="28"/>
      <c r="AA20" s="28"/>
    </row>
    <row r="21" ht="13.5" customHeight="1">
      <c r="A21" s="28"/>
      <c r="B21" s="28"/>
      <c r="C21" s="28"/>
      <c r="D21" s="28"/>
      <c r="E21" s="3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sheetData>
  <mergeCells count="5">
    <mergeCell ref="A1:K1"/>
    <mergeCell ref="A4:A14"/>
    <mergeCell ref="B4:B14"/>
    <mergeCell ref="A15:A19"/>
    <mergeCell ref="B15:B19"/>
  </mergeCell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298</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40" t="s">
        <v>299</v>
      </c>
      <c r="B4" s="40" t="s">
        <v>300</v>
      </c>
      <c r="C4" s="28" t="s">
        <v>301</v>
      </c>
      <c r="D4" s="37" t="s">
        <v>302</v>
      </c>
      <c r="E4" s="28"/>
      <c r="F4" s="31"/>
      <c r="G4" s="28"/>
      <c r="H4" s="28" t="s">
        <v>128</v>
      </c>
      <c r="I4" s="28"/>
      <c r="J4" s="28"/>
      <c r="K4" s="28"/>
      <c r="L4" s="28"/>
      <c r="M4" s="28"/>
      <c r="N4" s="28"/>
      <c r="O4" s="28"/>
      <c r="P4" s="28"/>
      <c r="Q4" s="28"/>
      <c r="R4" s="28"/>
      <c r="S4" s="28"/>
      <c r="T4" s="28"/>
      <c r="U4" s="28"/>
      <c r="V4" s="28"/>
      <c r="W4" s="28"/>
      <c r="X4" s="28"/>
      <c r="Y4" s="28"/>
      <c r="Z4" s="28"/>
      <c r="AA4" s="28"/>
    </row>
    <row r="5" ht="13.5" customHeight="1">
      <c r="C5" s="28" t="s">
        <v>303</v>
      </c>
      <c r="D5" s="37" t="s">
        <v>304</v>
      </c>
      <c r="E5" s="28"/>
      <c r="F5" s="31"/>
      <c r="G5" s="28"/>
      <c r="H5" s="28" t="s">
        <v>66</v>
      </c>
      <c r="I5" s="28"/>
      <c r="J5" s="28"/>
      <c r="K5" s="28"/>
      <c r="L5" s="28"/>
      <c r="M5" s="28"/>
      <c r="N5" s="28"/>
      <c r="O5" s="28"/>
      <c r="P5" s="28"/>
      <c r="Q5" s="28"/>
      <c r="R5" s="28"/>
      <c r="S5" s="28"/>
      <c r="T5" s="28"/>
      <c r="U5" s="28"/>
      <c r="V5" s="28"/>
      <c r="W5" s="28"/>
      <c r="X5" s="28"/>
      <c r="Y5" s="28"/>
      <c r="Z5" s="28"/>
      <c r="AA5" s="28"/>
    </row>
    <row r="6" ht="13.5" customHeight="1">
      <c r="C6" s="28" t="s">
        <v>305</v>
      </c>
      <c r="D6" s="37" t="s">
        <v>306</v>
      </c>
      <c r="E6" s="28"/>
      <c r="F6" s="31"/>
      <c r="G6" s="28"/>
      <c r="H6" s="28" t="s">
        <v>69</v>
      </c>
      <c r="I6" s="28"/>
      <c r="J6" s="28"/>
      <c r="K6" s="28"/>
      <c r="L6" s="28"/>
      <c r="M6" s="28"/>
      <c r="N6" s="28"/>
      <c r="O6" s="28"/>
      <c r="P6" s="28"/>
      <c r="Q6" s="28"/>
      <c r="R6" s="28"/>
      <c r="S6" s="28"/>
      <c r="T6" s="28"/>
      <c r="U6" s="28"/>
      <c r="V6" s="28"/>
      <c r="W6" s="28"/>
      <c r="X6" s="28"/>
      <c r="Y6" s="28"/>
      <c r="Z6" s="28"/>
      <c r="AA6" s="28"/>
    </row>
    <row r="7" ht="13.5" customHeight="1">
      <c r="C7" s="31" t="s">
        <v>307</v>
      </c>
      <c r="D7" s="41" t="s">
        <v>308</v>
      </c>
      <c r="E7" s="28"/>
      <c r="F7" s="31"/>
      <c r="G7" s="28"/>
      <c r="H7" s="28" t="s">
        <v>72</v>
      </c>
      <c r="I7" s="28"/>
      <c r="J7" s="28"/>
      <c r="K7" s="28"/>
      <c r="L7" s="28"/>
      <c r="M7" s="28"/>
      <c r="N7" s="28"/>
      <c r="O7" s="28"/>
      <c r="P7" s="28"/>
      <c r="Q7" s="28"/>
      <c r="R7" s="28"/>
      <c r="S7" s="28"/>
      <c r="T7" s="28"/>
      <c r="U7" s="28"/>
      <c r="V7" s="28"/>
      <c r="W7" s="28"/>
      <c r="X7" s="28"/>
      <c r="Y7" s="28"/>
      <c r="Z7" s="28"/>
      <c r="AA7" s="28"/>
    </row>
    <row r="8" ht="13.5" customHeight="1">
      <c r="A8" s="11" t="s">
        <v>309</v>
      </c>
      <c r="B8" s="11" t="s">
        <v>310</v>
      </c>
      <c r="C8" s="12" t="s">
        <v>311</v>
      </c>
      <c r="D8" s="42" t="s">
        <v>312</v>
      </c>
      <c r="E8" s="43"/>
      <c r="F8" s="43"/>
      <c r="G8" s="43"/>
      <c r="H8" s="43" t="s">
        <v>128</v>
      </c>
      <c r="I8" s="43"/>
      <c r="J8" s="43"/>
      <c r="K8" s="43"/>
      <c r="L8" s="28"/>
      <c r="M8" s="28"/>
      <c r="N8" s="28"/>
      <c r="O8" s="28"/>
      <c r="P8" s="28"/>
      <c r="Q8" s="28"/>
      <c r="R8" s="28"/>
      <c r="S8" s="28"/>
      <c r="T8" s="28"/>
      <c r="U8" s="28"/>
      <c r="V8" s="28"/>
      <c r="W8" s="28"/>
      <c r="X8" s="28"/>
      <c r="Y8" s="28"/>
      <c r="Z8" s="28"/>
      <c r="AA8" s="28"/>
    </row>
    <row r="9" ht="13.5" customHeight="1">
      <c r="C9" s="12" t="s">
        <v>313</v>
      </c>
      <c r="D9" s="42" t="s">
        <v>314</v>
      </c>
      <c r="E9" s="43"/>
      <c r="F9" s="43"/>
      <c r="G9" s="43"/>
      <c r="H9" s="43" t="s">
        <v>66</v>
      </c>
      <c r="I9" s="43"/>
      <c r="J9" s="43"/>
      <c r="K9" s="43"/>
      <c r="L9" s="28"/>
      <c r="M9" s="28"/>
      <c r="N9" s="28"/>
      <c r="O9" s="28"/>
      <c r="P9" s="28"/>
      <c r="Q9" s="28"/>
      <c r="R9" s="28"/>
      <c r="S9" s="28"/>
      <c r="T9" s="28"/>
      <c r="U9" s="28"/>
      <c r="V9" s="28"/>
      <c r="W9" s="28"/>
      <c r="X9" s="28"/>
      <c r="Y9" s="28"/>
      <c r="Z9" s="28"/>
      <c r="AA9" s="28"/>
    </row>
    <row r="10" ht="13.5" customHeight="1">
      <c r="C10" s="12" t="s">
        <v>315</v>
      </c>
      <c r="D10" s="42" t="s">
        <v>316</v>
      </c>
      <c r="E10" s="43"/>
      <c r="F10" s="43"/>
      <c r="G10" s="43"/>
      <c r="H10" s="43" t="s">
        <v>69</v>
      </c>
      <c r="I10" s="43"/>
      <c r="J10" s="43"/>
      <c r="K10" s="43"/>
      <c r="L10" s="28"/>
      <c r="M10" s="28"/>
      <c r="N10" s="28"/>
      <c r="O10" s="28"/>
      <c r="P10" s="28"/>
      <c r="Q10" s="28"/>
      <c r="R10" s="28"/>
      <c r="S10" s="28"/>
      <c r="T10" s="28"/>
      <c r="U10" s="28"/>
      <c r="V10" s="28"/>
      <c r="W10" s="28"/>
      <c r="X10" s="28"/>
      <c r="Y10" s="28"/>
      <c r="Z10" s="28"/>
      <c r="AA10" s="28"/>
    </row>
    <row r="11" ht="13.5" customHeight="1">
      <c r="C11" s="12" t="s">
        <v>317</v>
      </c>
      <c r="D11" s="42" t="s">
        <v>318</v>
      </c>
      <c r="E11" s="43"/>
      <c r="F11" s="43"/>
      <c r="G11" s="43"/>
      <c r="H11" s="43" t="s">
        <v>72</v>
      </c>
      <c r="I11" s="43"/>
      <c r="J11" s="43"/>
      <c r="K11" s="43"/>
      <c r="L11" s="28"/>
      <c r="M11" s="28"/>
      <c r="N11" s="28"/>
      <c r="O11" s="28"/>
      <c r="P11" s="28"/>
      <c r="Q11" s="28"/>
      <c r="R11" s="28"/>
      <c r="S11" s="28"/>
      <c r="T11" s="28"/>
      <c r="U11" s="28"/>
      <c r="V11" s="28"/>
      <c r="W11" s="28"/>
      <c r="X11" s="28"/>
      <c r="Y11" s="28"/>
      <c r="Z11" s="28"/>
      <c r="AA11" s="28"/>
    </row>
    <row r="12" ht="13.5" customHeight="1">
      <c r="C12" s="12" t="s">
        <v>319</v>
      </c>
      <c r="D12" s="42" t="s">
        <v>320</v>
      </c>
      <c r="E12" s="12"/>
      <c r="F12" s="43"/>
      <c r="G12" s="43"/>
      <c r="H12" s="43" t="s">
        <v>75</v>
      </c>
      <c r="I12" s="43"/>
      <c r="J12" s="43"/>
      <c r="K12" s="43"/>
      <c r="L12" s="28"/>
      <c r="M12" s="28"/>
      <c r="N12" s="28"/>
      <c r="O12" s="28"/>
      <c r="P12" s="28"/>
      <c r="Q12" s="28"/>
      <c r="R12" s="28"/>
      <c r="S12" s="28"/>
      <c r="T12" s="28"/>
      <c r="U12" s="28"/>
      <c r="V12" s="28"/>
      <c r="W12" s="28"/>
      <c r="X12" s="28"/>
      <c r="Y12" s="28"/>
      <c r="Z12" s="28"/>
      <c r="AA12" s="28"/>
    </row>
    <row r="13">
      <c r="A13" s="44" t="s">
        <v>321</v>
      </c>
      <c r="B13" s="44" t="s">
        <v>322</v>
      </c>
      <c r="C13" s="44" t="s">
        <v>323</v>
      </c>
      <c r="D13" s="45" t="s">
        <v>324</v>
      </c>
      <c r="E13" s="31" t="s">
        <v>325</v>
      </c>
      <c r="F13" s="31"/>
      <c r="G13" s="28"/>
      <c r="H13" s="28" t="s">
        <v>128</v>
      </c>
      <c r="I13" s="28"/>
      <c r="J13" s="28"/>
      <c r="K13" s="31" t="s">
        <v>326</v>
      </c>
      <c r="L13" s="28"/>
      <c r="M13" s="28"/>
      <c r="N13" s="28"/>
      <c r="O13" s="28"/>
      <c r="P13" s="28"/>
      <c r="Q13" s="28"/>
      <c r="R13" s="28"/>
      <c r="S13" s="28"/>
      <c r="T13" s="28"/>
      <c r="U13" s="28"/>
      <c r="V13" s="28"/>
      <c r="W13" s="28"/>
      <c r="X13" s="28"/>
      <c r="Y13" s="28"/>
      <c r="Z13" s="28"/>
      <c r="AA13" s="28"/>
    </row>
    <row r="14" ht="13.5" customHeight="1">
      <c r="A14" s="12" t="s">
        <v>327</v>
      </c>
      <c r="B14" s="12" t="s">
        <v>328</v>
      </c>
      <c r="C14" s="12" t="s">
        <v>329</v>
      </c>
      <c r="D14" s="42" t="s">
        <v>330</v>
      </c>
      <c r="E14" s="12" t="s">
        <v>331</v>
      </c>
      <c r="F14" s="12"/>
      <c r="G14" s="43"/>
      <c r="H14" s="12">
        <v>0.0</v>
      </c>
      <c r="I14" s="43"/>
      <c r="J14" s="43"/>
      <c r="K14" s="12" t="s">
        <v>332</v>
      </c>
      <c r="L14" s="28"/>
      <c r="M14" s="28"/>
      <c r="N14" s="28"/>
      <c r="O14" s="28"/>
      <c r="P14" s="28"/>
      <c r="Q14" s="28"/>
      <c r="R14" s="28"/>
      <c r="S14" s="28"/>
      <c r="T14" s="28"/>
      <c r="U14" s="28"/>
      <c r="V14" s="28"/>
      <c r="W14" s="28"/>
      <c r="X14" s="28"/>
      <c r="Y14" s="28"/>
      <c r="Z14" s="28"/>
      <c r="AA14" s="28"/>
    </row>
    <row r="15" ht="13.5" customHeight="1">
      <c r="A15" s="12" t="s">
        <v>327</v>
      </c>
      <c r="B15" s="12" t="s">
        <v>333</v>
      </c>
      <c r="C15" s="12" t="s">
        <v>334</v>
      </c>
      <c r="D15" s="42" t="s">
        <v>335</v>
      </c>
      <c r="E15" s="12" t="s">
        <v>336</v>
      </c>
      <c r="F15" s="12"/>
      <c r="G15" s="43"/>
      <c r="H15" s="12">
        <v>0.0</v>
      </c>
      <c r="I15" s="43"/>
      <c r="J15" s="43"/>
      <c r="K15" s="12" t="s">
        <v>332</v>
      </c>
      <c r="L15" s="28"/>
      <c r="M15" s="28"/>
      <c r="N15" s="28"/>
      <c r="O15" s="28"/>
      <c r="P15" s="28"/>
      <c r="Q15" s="28"/>
      <c r="R15" s="28"/>
      <c r="S15" s="28"/>
      <c r="T15" s="28"/>
      <c r="U15" s="28"/>
      <c r="V15" s="28"/>
      <c r="W15" s="28"/>
      <c r="X15" s="28"/>
      <c r="Y15" s="28"/>
      <c r="Z15" s="28"/>
      <c r="AA15" s="28"/>
    </row>
    <row r="16" ht="13.5" customHeight="1">
      <c r="A16" s="11" t="s">
        <v>337</v>
      </c>
      <c r="B16" s="11" t="s">
        <v>338</v>
      </c>
      <c r="C16" s="12" t="s">
        <v>339</v>
      </c>
      <c r="D16" s="42" t="s">
        <v>340</v>
      </c>
      <c r="E16" s="43"/>
      <c r="F16" s="43"/>
      <c r="G16" s="43"/>
      <c r="H16" s="43" t="s">
        <v>128</v>
      </c>
      <c r="I16" s="43"/>
      <c r="J16" s="43"/>
      <c r="K16" s="43"/>
      <c r="L16" s="28"/>
      <c r="M16" s="28"/>
      <c r="N16" s="28"/>
      <c r="O16" s="28"/>
      <c r="P16" s="28"/>
      <c r="Q16" s="28"/>
      <c r="R16" s="28"/>
      <c r="S16" s="28"/>
      <c r="T16" s="28"/>
      <c r="U16" s="28"/>
      <c r="V16" s="28"/>
      <c r="W16" s="28"/>
      <c r="X16" s="28"/>
      <c r="Y16" s="28"/>
      <c r="Z16" s="28"/>
      <c r="AA16" s="28"/>
    </row>
    <row r="17" ht="13.5" customHeight="1">
      <c r="C17" s="12" t="s">
        <v>341</v>
      </c>
      <c r="D17" s="42" t="s">
        <v>342</v>
      </c>
      <c r="E17" s="43"/>
      <c r="F17" s="43"/>
      <c r="G17" s="43"/>
      <c r="H17" s="43" t="s">
        <v>66</v>
      </c>
      <c r="I17" s="43"/>
      <c r="J17" s="43"/>
      <c r="K17" s="43"/>
      <c r="L17" s="28"/>
      <c r="M17" s="28"/>
      <c r="N17" s="28"/>
      <c r="O17" s="28"/>
      <c r="P17" s="28"/>
      <c r="Q17" s="28"/>
      <c r="R17" s="28"/>
      <c r="S17" s="28"/>
      <c r="T17" s="28"/>
      <c r="U17" s="28"/>
      <c r="V17" s="28"/>
      <c r="W17" s="28"/>
      <c r="X17" s="28"/>
      <c r="Y17" s="28"/>
      <c r="Z17" s="28"/>
      <c r="AA17" s="28"/>
    </row>
    <row r="18" ht="13.5" customHeight="1">
      <c r="A18" s="12" t="s">
        <v>343</v>
      </c>
      <c r="B18" s="12" t="s">
        <v>344</v>
      </c>
      <c r="C18" s="12" t="s">
        <v>345</v>
      </c>
      <c r="D18" s="46" t="s">
        <v>346</v>
      </c>
      <c r="E18" s="43"/>
      <c r="F18" s="43"/>
      <c r="G18" s="43"/>
      <c r="H18" s="43" t="s">
        <v>128</v>
      </c>
      <c r="I18" s="43"/>
      <c r="J18" s="43"/>
      <c r="K18" s="43"/>
      <c r="L18" s="28"/>
      <c r="M18" s="28"/>
      <c r="N18" s="28"/>
      <c r="O18" s="28"/>
      <c r="P18" s="28"/>
      <c r="Q18" s="28"/>
      <c r="R18" s="28"/>
      <c r="S18" s="28"/>
      <c r="T18" s="28"/>
      <c r="U18" s="28"/>
      <c r="V18" s="28"/>
      <c r="W18" s="28"/>
      <c r="X18" s="28"/>
      <c r="Y18" s="28"/>
      <c r="Z18" s="28"/>
      <c r="AA18" s="28"/>
    </row>
    <row r="19" ht="13.5" customHeight="1">
      <c r="C19" s="12" t="s">
        <v>347</v>
      </c>
      <c r="D19" s="46" t="s">
        <v>348</v>
      </c>
      <c r="E19" s="43"/>
      <c r="F19" s="43"/>
      <c r="G19" s="43"/>
      <c r="H19" s="43" t="s">
        <v>66</v>
      </c>
      <c r="I19" s="43"/>
      <c r="J19" s="43"/>
      <c r="K19" s="43"/>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sheetData>
  <mergeCells count="9">
    <mergeCell ref="A18:A19"/>
    <mergeCell ref="B18:B19"/>
    <mergeCell ref="A1:K1"/>
    <mergeCell ref="A4:A7"/>
    <mergeCell ref="B4:B7"/>
    <mergeCell ref="A8:A12"/>
    <mergeCell ref="B8:B12"/>
    <mergeCell ref="A16:A17"/>
    <mergeCell ref="B16:B17"/>
  </mergeCells>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349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350</v>
      </c>
      <c r="B4" s="12" t="s">
        <v>351</v>
      </c>
      <c r="C4" s="12" t="s">
        <v>352</v>
      </c>
      <c r="D4" s="42" t="s">
        <v>353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354</v>
      </c>
      <c r="D5" s="42" t="s">
        <v>355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356</v>
      </c>
      <c r="D6" s="42" t="s">
        <v>357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358</v>
      </c>
      <c r="D7" s="42" t="s">
        <v>359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360</v>
      </c>
      <c r="D8" s="42" t="s">
        <v>361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6" t="s">
        <v>362</v>
      </c>
      <c r="B9" s="6" t="s">
        <v>363</v>
      </c>
      <c r="C9" s="28" t="s">
        <v>364</v>
      </c>
      <c r="D9" s="37" t="s">
        <v>365</v>
      </c>
      <c r="E9" s="28"/>
      <c r="F9" s="28" t="s">
        <v>366</v>
      </c>
      <c r="G9" s="28"/>
      <c r="H9" s="28" t="s">
        <v>128</v>
      </c>
      <c r="I9" s="28"/>
      <c r="J9" s="28"/>
      <c r="K9" s="28"/>
      <c r="L9" s="28"/>
      <c r="M9" s="28"/>
      <c r="N9" s="28"/>
      <c r="O9" s="28"/>
      <c r="P9" s="28"/>
      <c r="Q9" s="28"/>
      <c r="R9" s="28"/>
      <c r="S9" s="28"/>
      <c r="T9" s="28"/>
      <c r="U9" s="28"/>
      <c r="V9" s="28"/>
      <c r="W9" s="28"/>
      <c r="X9" s="28"/>
      <c r="Y9" s="28"/>
      <c r="Z9" s="28"/>
      <c r="AA9" s="28"/>
    </row>
    <row r="10" ht="13.5" customHeight="1">
      <c r="C10" s="28" t="s">
        <v>367</v>
      </c>
      <c r="D10" s="37" t="s">
        <v>368</v>
      </c>
      <c r="E10" s="28"/>
      <c r="F10" s="28" t="s">
        <v>366</v>
      </c>
      <c r="G10" s="28"/>
      <c r="H10" s="28" t="s">
        <v>66</v>
      </c>
      <c r="I10" s="28"/>
      <c r="J10" s="28"/>
      <c r="K10" s="28"/>
      <c r="L10" s="28"/>
      <c r="M10" s="28"/>
      <c r="N10" s="28"/>
      <c r="O10" s="28"/>
      <c r="P10" s="28"/>
      <c r="Q10" s="28"/>
      <c r="R10" s="28"/>
      <c r="S10" s="28"/>
      <c r="T10" s="28"/>
      <c r="U10" s="28"/>
      <c r="V10" s="28"/>
      <c r="W10" s="28"/>
      <c r="X10" s="28"/>
      <c r="Y10" s="28"/>
      <c r="Z10" s="28"/>
      <c r="AA10" s="28"/>
    </row>
    <row r="11" ht="13.5" customHeight="1">
      <c r="A11" s="28"/>
      <c r="B11" s="28"/>
      <c r="C11" s="28"/>
      <c r="D11" s="37"/>
      <c r="E11" s="28"/>
      <c r="F11" s="28"/>
      <c r="G11" s="28"/>
      <c r="H11" s="28"/>
      <c r="I11" s="28"/>
      <c r="J11" s="28"/>
      <c r="K11" s="28"/>
      <c r="L11" s="28"/>
      <c r="M11" s="28"/>
      <c r="N11" s="28"/>
      <c r="O11" s="28"/>
      <c r="P11" s="28"/>
      <c r="Q11" s="28"/>
      <c r="R11" s="28"/>
      <c r="S11" s="28"/>
      <c r="T11" s="28"/>
      <c r="U11" s="28"/>
      <c r="V11" s="28"/>
      <c r="W11" s="28"/>
      <c r="X11" s="28"/>
      <c r="Y11" s="28"/>
      <c r="Z11" s="28"/>
      <c r="AA11" s="28"/>
    </row>
    <row r="12" ht="13.5" customHeight="1">
      <c r="A12" s="28"/>
      <c r="B12" s="28"/>
      <c r="C12" s="28"/>
      <c r="D12" s="37"/>
      <c r="E12" s="28"/>
      <c r="F12" s="28"/>
      <c r="G12" s="28"/>
      <c r="H12" s="28"/>
      <c r="I12" s="28"/>
      <c r="J12" s="28"/>
      <c r="K12" s="28"/>
      <c r="L12" s="28"/>
      <c r="M12" s="28"/>
      <c r="N12" s="28"/>
      <c r="O12" s="28"/>
      <c r="P12" s="28"/>
      <c r="Q12" s="28"/>
      <c r="R12" s="28"/>
      <c r="S12" s="28"/>
      <c r="T12" s="28"/>
      <c r="U12" s="28"/>
      <c r="V12" s="28"/>
      <c r="W12" s="28"/>
      <c r="X12" s="28"/>
      <c r="Y12" s="28"/>
      <c r="Z12" s="28"/>
      <c r="AA12" s="28"/>
    </row>
    <row r="13" ht="13.5" customHeight="1">
      <c r="A13" s="28"/>
      <c r="B13" s="28"/>
      <c r="C13" s="28"/>
      <c r="D13" s="37"/>
      <c r="E13" s="28"/>
      <c r="F13" s="28"/>
      <c r="G13" s="28"/>
      <c r="H13" s="28"/>
      <c r="I13" s="28"/>
      <c r="J13" s="28"/>
      <c r="K13" s="28"/>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369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370</v>
      </c>
      <c r="B4" s="12" t="s">
        <v>371</v>
      </c>
      <c r="C4" s="12" t="s">
        <v>372</v>
      </c>
      <c r="D4" s="42" t="s">
        <v>373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374</v>
      </c>
      <c r="D5" s="42" t="s">
        <v>375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376</v>
      </c>
      <c r="D6" s="42" t="s">
        <v>377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378</v>
      </c>
      <c r="D7" s="42" t="s">
        <v>379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380</v>
      </c>
      <c r="D8" s="42" t="s">
        <v>381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47" t="s">
        <v>382</v>
      </c>
      <c r="B9" s="47" t="s">
        <v>383</v>
      </c>
      <c r="C9" s="48" t="s">
        <v>384</v>
      </c>
      <c r="D9" s="49" t="s">
        <v>385</v>
      </c>
      <c r="E9" s="48"/>
      <c r="F9" s="48"/>
      <c r="G9" s="48"/>
      <c r="H9" s="48" t="s">
        <v>128</v>
      </c>
      <c r="I9" s="48"/>
      <c r="J9" s="48"/>
      <c r="K9" s="48"/>
      <c r="L9" s="48"/>
      <c r="M9" s="48"/>
      <c r="N9" s="48"/>
      <c r="O9" s="48"/>
      <c r="P9" s="48"/>
      <c r="Q9" s="48"/>
      <c r="R9" s="48"/>
      <c r="S9" s="48"/>
      <c r="T9" s="48"/>
      <c r="U9" s="48"/>
      <c r="V9" s="48"/>
      <c r="W9" s="48"/>
      <c r="X9" s="48"/>
      <c r="Y9" s="48"/>
      <c r="Z9" s="48"/>
      <c r="AA9" s="48"/>
    </row>
    <row r="10" ht="13.5" customHeight="1">
      <c r="C10" s="47" t="s">
        <v>386</v>
      </c>
      <c r="D10" s="50" t="s">
        <v>387</v>
      </c>
      <c r="E10" s="48"/>
      <c r="F10" s="48"/>
      <c r="G10" s="48"/>
      <c r="H10" s="48" t="s">
        <v>66</v>
      </c>
      <c r="I10" s="48"/>
      <c r="J10" s="48"/>
      <c r="K10" s="48"/>
      <c r="L10" s="48"/>
      <c r="M10" s="48"/>
      <c r="N10" s="48"/>
      <c r="O10" s="48"/>
      <c r="P10" s="48"/>
      <c r="Q10" s="48"/>
      <c r="R10" s="48"/>
      <c r="S10" s="48"/>
      <c r="T10" s="48"/>
      <c r="U10" s="48"/>
      <c r="V10" s="48"/>
      <c r="W10" s="48"/>
      <c r="X10" s="48"/>
      <c r="Y10" s="48"/>
      <c r="Z10" s="48"/>
      <c r="AA10" s="48"/>
    </row>
    <row r="11" ht="13.5" customHeight="1">
      <c r="C11" s="48" t="s">
        <v>388</v>
      </c>
      <c r="D11" s="49" t="s">
        <v>389</v>
      </c>
      <c r="E11" s="48"/>
      <c r="F11" s="48"/>
      <c r="G11" s="48"/>
      <c r="H11" s="47">
        <v>200.0</v>
      </c>
      <c r="I11" s="48"/>
      <c r="J11" s="48"/>
      <c r="K11" s="48"/>
      <c r="L11" s="48"/>
      <c r="M11" s="48"/>
      <c r="N11" s="48"/>
      <c r="O11" s="48"/>
      <c r="P11" s="48"/>
      <c r="Q11" s="48"/>
      <c r="R11" s="48"/>
      <c r="S11" s="48"/>
      <c r="T11" s="48"/>
      <c r="U11" s="48"/>
      <c r="V11" s="48"/>
      <c r="W11" s="48"/>
      <c r="X11" s="48"/>
      <c r="Y11" s="48"/>
      <c r="Z11" s="48"/>
      <c r="AA11" s="48"/>
    </row>
    <row r="12" ht="13.5" customHeight="1">
      <c r="A12" s="12" t="s">
        <v>390</v>
      </c>
      <c r="B12" s="12" t="s">
        <v>391</v>
      </c>
      <c r="C12" s="12" t="s">
        <v>392</v>
      </c>
      <c r="D12" s="42" t="s">
        <v>393</v>
      </c>
      <c r="E12" s="43"/>
      <c r="F12" s="43"/>
      <c r="G12" s="43"/>
      <c r="H12" s="12">
        <v>0.0</v>
      </c>
      <c r="I12" s="43"/>
      <c r="J12" s="43"/>
      <c r="K12" s="43"/>
      <c r="L12" s="28"/>
      <c r="M12" s="28"/>
      <c r="N12" s="28"/>
      <c r="O12" s="28"/>
      <c r="P12" s="28"/>
      <c r="Q12" s="28"/>
      <c r="R12" s="28"/>
      <c r="S12" s="28"/>
      <c r="T12" s="28"/>
      <c r="U12" s="28"/>
      <c r="V12" s="28"/>
      <c r="W12" s="28"/>
      <c r="X12" s="28"/>
      <c r="Y12" s="28"/>
      <c r="Z12" s="28"/>
      <c r="AA12" s="28"/>
    </row>
    <row r="13" ht="13.5" customHeight="1">
      <c r="C13" s="12" t="s">
        <v>394</v>
      </c>
      <c r="D13" s="42" t="s">
        <v>395</v>
      </c>
      <c r="E13" s="43"/>
      <c r="F13" s="43"/>
      <c r="G13" s="43"/>
      <c r="H13" s="12">
        <v>100.0</v>
      </c>
      <c r="I13" s="43"/>
      <c r="J13" s="43"/>
      <c r="K13" s="43"/>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397</v>
      </c>
      <c r="B4" s="6" t="s">
        <v>398</v>
      </c>
      <c r="C4" s="28" t="s">
        <v>399</v>
      </c>
      <c r="D4" s="41" t="s">
        <v>400</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28" t="s">
        <v>401</v>
      </c>
      <c r="D5" s="37" t="s">
        <v>402</v>
      </c>
      <c r="E5" s="28"/>
      <c r="F5" s="28"/>
      <c r="G5" s="28"/>
      <c r="H5" s="28" t="s">
        <v>66</v>
      </c>
      <c r="I5" s="28"/>
      <c r="J5" s="28"/>
      <c r="K5" s="28"/>
      <c r="L5" s="28"/>
      <c r="M5" s="28"/>
      <c r="N5" s="28"/>
      <c r="O5" s="28"/>
      <c r="P5" s="28"/>
      <c r="Q5" s="28"/>
      <c r="R5" s="28"/>
      <c r="S5" s="28"/>
      <c r="T5" s="28"/>
      <c r="U5" s="28"/>
      <c r="V5" s="28"/>
      <c r="W5" s="28"/>
      <c r="X5" s="28"/>
      <c r="Y5" s="28"/>
      <c r="Z5" s="28"/>
      <c r="AA5" s="28"/>
    </row>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38" t="s">
        <v>403</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51"/>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52"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404</v>
      </c>
      <c r="B4" s="6" t="s">
        <v>405</v>
      </c>
      <c r="C4" s="31" t="s">
        <v>406</v>
      </c>
      <c r="D4" s="41" t="s">
        <v>407</v>
      </c>
      <c r="E4" s="53" t="s">
        <v>408</v>
      </c>
      <c r="F4" s="28"/>
      <c r="G4" s="28"/>
      <c r="H4" s="28" t="s">
        <v>128</v>
      </c>
      <c r="I4" s="28"/>
      <c r="J4" s="28"/>
      <c r="K4" s="31" t="s">
        <v>409</v>
      </c>
      <c r="L4" s="28"/>
      <c r="M4" s="28"/>
      <c r="N4" s="28"/>
      <c r="O4" s="28"/>
      <c r="P4" s="28"/>
      <c r="Q4" s="28"/>
      <c r="R4" s="28"/>
      <c r="S4" s="28"/>
      <c r="T4" s="28"/>
      <c r="U4" s="28"/>
      <c r="V4" s="28"/>
      <c r="W4" s="28"/>
      <c r="X4" s="28"/>
      <c r="Y4" s="28"/>
      <c r="Z4" s="28"/>
      <c r="AA4" s="28"/>
    </row>
    <row r="5" ht="13.5" customHeight="1">
      <c r="C5" s="31" t="s">
        <v>410</v>
      </c>
      <c r="D5" s="41" t="s">
        <v>411</v>
      </c>
      <c r="E5" s="54" t="s">
        <v>412</v>
      </c>
      <c r="F5" s="28"/>
      <c r="G5" s="28"/>
      <c r="H5" s="28" t="s">
        <v>66</v>
      </c>
      <c r="I5" s="28"/>
      <c r="J5" s="28"/>
      <c r="K5" s="31" t="s">
        <v>413</v>
      </c>
      <c r="L5" s="28"/>
      <c r="M5" s="28"/>
      <c r="N5" s="28"/>
      <c r="O5" s="28"/>
      <c r="P5" s="28"/>
      <c r="Q5" s="28"/>
      <c r="R5" s="28"/>
      <c r="S5" s="28"/>
      <c r="T5" s="28"/>
      <c r="U5" s="28"/>
      <c r="V5" s="28"/>
      <c r="W5" s="28"/>
      <c r="X5" s="28"/>
      <c r="Y5" s="28"/>
      <c r="Z5" s="28"/>
      <c r="AA5" s="28"/>
    </row>
    <row r="6" ht="13.5" customHeight="1">
      <c r="A6" s="7" t="s">
        <v>414</v>
      </c>
      <c r="B6" s="7" t="s">
        <v>415</v>
      </c>
      <c r="C6" s="31" t="s">
        <v>416</v>
      </c>
      <c r="D6" s="41" t="s">
        <v>417</v>
      </c>
      <c r="E6" s="53" t="s">
        <v>418</v>
      </c>
      <c r="F6" s="28"/>
      <c r="G6" s="28"/>
      <c r="H6" s="28" t="s">
        <v>128</v>
      </c>
      <c r="I6" s="28"/>
      <c r="J6" s="28"/>
      <c r="K6" s="31" t="s">
        <v>419</v>
      </c>
      <c r="L6" s="28"/>
      <c r="M6" s="28"/>
      <c r="N6" s="28"/>
      <c r="O6" s="28"/>
      <c r="P6" s="28"/>
      <c r="Q6" s="28"/>
      <c r="R6" s="28"/>
      <c r="S6" s="28"/>
      <c r="T6" s="28"/>
      <c r="U6" s="28"/>
      <c r="V6" s="28"/>
      <c r="W6" s="28"/>
      <c r="X6" s="28"/>
      <c r="Y6" s="28"/>
      <c r="Z6" s="28"/>
      <c r="AA6" s="28"/>
    </row>
    <row r="7" ht="13.5" customHeight="1">
      <c r="C7" s="31" t="s">
        <v>420</v>
      </c>
      <c r="D7" s="41" t="s">
        <v>421</v>
      </c>
      <c r="E7" s="53" t="s">
        <v>417</v>
      </c>
      <c r="F7" s="28"/>
      <c r="G7" s="28"/>
      <c r="H7" s="28" t="s">
        <v>66</v>
      </c>
      <c r="I7" s="28"/>
      <c r="J7" s="28"/>
      <c r="K7" s="31" t="s">
        <v>419</v>
      </c>
      <c r="L7" s="28"/>
      <c r="M7" s="28"/>
      <c r="N7" s="28"/>
      <c r="O7" s="28"/>
      <c r="P7" s="28"/>
      <c r="Q7" s="28"/>
      <c r="R7" s="28"/>
      <c r="S7" s="28"/>
      <c r="T7" s="28"/>
      <c r="U7" s="28"/>
      <c r="V7" s="28"/>
      <c r="W7" s="28"/>
      <c r="X7" s="28"/>
      <c r="Y7" s="28"/>
      <c r="Z7" s="28"/>
      <c r="AA7" s="28"/>
    </row>
    <row r="8" ht="13.5" customHeight="1">
      <c r="A8" s="6" t="s">
        <v>422</v>
      </c>
      <c r="B8" s="6" t="s">
        <v>423</v>
      </c>
      <c r="C8" s="31" t="s">
        <v>424</v>
      </c>
      <c r="D8" s="41" t="s">
        <v>423</v>
      </c>
      <c r="E8" s="53" t="s">
        <v>425</v>
      </c>
      <c r="F8" s="28"/>
      <c r="G8" s="28"/>
      <c r="H8" s="28" t="s">
        <v>128</v>
      </c>
      <c r="I8" s="28"/>
      <c r="J8" s="28"/>
      <c r="K8" s="31" t="s">
        <v>409</v>
      </c>
      <c r="L8" s="28"/>
      <c r="M8" s="28"/>
      <c r="N8" s="28"/>
      <c r="O8" s="28"/>
      <c r="P8" s="28"/>
      <c r="Q8" s="28"/>
      <c r="R8" s="28"/>
      <c r="S8" s="28"/>
      <c r="T8" s="28"/>
      <c r="U8" s="28"/>
      <c r="V8" s="28"/>
      <c r="W8" s="28"/>
      <c r="X8" s="28"/>
      <c r="Y8" s="28"/>
      <c r="Z8" s="28"/>
      <c r="AA8" s="28"/>
    </row>
    <row r="9" ht="13.5" customHeight="1">
      <c r="C9" s="31" t="s">
        <v>426</v>
      </c>
      <c r="D9" s="41" t="s">
        <v>427</v>
      </c>
      <c r="E9" s="53" t="s">
        <v>428</v>
      </c>
      <c r="F9" s="28"/>
      <c r="G9" s="28"/>
      <c r="H9" s="28" t="s">
        <v>66</v>
      </c>
      <c r="I9" s="28"/>
      <c r="J9" s="28"/>
      <c r="K9" s="31" t="s">
        <v>413</v>
      </c>
      <c r="L9" s="28"/>
      <c r="M9" s="28"/>
      <c r="N9" s="28"/>
      <c r="O9" s="28"/>
      <c r="P9" s="28"/>
      <c r="Q9" s="28"/>
      <c r="R9" s="28"/>
      <c r="S9" s="28"/>
      <c r="T9" s="28"/>
      <c r="U9" s="28"/>
      <c r="V9" s="28"/>
      <c r="W9" s="28"/>
      <c r="X9" s="28"/>
      <c r="Y9" s="28"/>
      <c r="Z9" s="28"/>
      <c r="AA9" s="28"/>
    </row>
    <row r="10" ht="13.5" customHeight="1">
      <c r="C10" s="12" t="s">
        <v>429</v>
      </c>
      <c r="D10" s="55" t="s">
        <v>430</v>
      </c>
      <c r="E10" s="46"/>
      <c r="F10" s="43"/>
      <c r="G10" s="43"/>
      <c r="H10" s="12">
        <v>200.0</v>
      </c>
      <c r="I10" s="43"/>
      <c r="J10" s="43"/>
      <c r="K10" s="12"/>
      <c r="L10" s="28"/>
      <c r="M10" s="28"/>
      <c r="N10" s="28"/>
      <c r="O10" s="28"/>
      <c r="P10" s="28"/>
      <c r="Q10" s="28"/>
      <c r="R10" s="28"/>
      <c r="S10" s="28"/>
      <c r="T10" s="28"/>
      <c r="U10" s="28"/>
      <c r="V10" s="28"/>
      <c r="W10" s="28"/>
      <c r="X10" s="28"/>
      <c r="Y10" s="28"/>
      <c r="Z10" s="28"/>
      <c r="AA10" s="28"/>
    </row>
    <row r="11" ht="13.5" customHeight="1">
      <c r="A11" s="7" t="s">
        <v>431</v>
      </c>
      <c r="B11" s="7" t="s">
        <v>432</v>
      </c>
      <c r="C11" s="31" t="s">
        <v>433</v>
      </c>
      <c r="D11" s="41" t="s">
        <v>434</v>
      </c>
      <c r="E11" s="53" t="s">
        <v>435</v>
      </c>
      <c r="F11" s="28"/>
      <c r="G11" s="28"/>
      <c r="H11" s="28" t="s">
        <v>128</v>
      </c>
      <c r="I11" s="28"/>
      <c r="J11" s="28"/>
      <c r="K11" s="31" t="s">
        <v>436</v>
      </c>
      <c r="L11" s="28"/>
      <c r="M11" s="28"/>
      <c r="N11" s="28"/>
      <c r="O11" s="28"/>
      <c r="P11" s="28"/>
      <c r="Q11" s="28"/>
      <c r="R11" s="28"/>
      <c r="S11" s="28"/>
      <c r="T11" s="28"/>
      <c r="U11" s="28"/>
      <c r="V11" s="28"/>
      <c r="W11" s="28"/>
      <c r="X11" s="28"/>
      <c r="Y11" s="28"/>
      <c r="Z11" s="28"/>
      <c r="AA11" s="28"/>
    </row>
    <row r="12" ht="13.5" customHeight="1">
      <c r="C12" s="31" t="s">
        <v>437</v>
      </c>
      <c r="D12" s="41" t="s">
        <v>438</v>
      </c>
      <c r="E12" s="53" t="s">
        <v>439</v>
      </c>
      <c r="F12" s="28"/>
      <c r="G12" s="28"/>
      <c r="H12" s="28" t="s">
        <v>66</v>
      </c>
      <c r="I12" s="28"/>
      <c r="J12" s="28"/>
      <c r="K12" s="31" t="s">
        <v>440</v>
      </c>
      <c r="L12" s="28"/>
      <c r="M12" s="28"/>
      <c r="N12" s="28"/>
      <c r="O12" s="28"/>
      <c r="P12" s="28"/>
      <c r="Q12" s="28"/>
      <c r="R12" s="28"/>
      <c r="S12" s="28"/>
      <c r="T12" s="28"/>
      <c r="U12" s="28"/>
      <c r="V12" s="28"/>
      <c r="W12" s="28"/>
      <c r="X12" s="28"/>
      <c r="Y12" s="28"/>
      <c r="Z12" s="28"/>
      <c r="AA12" s="28"/>
    </row>
    <row r="13" ht="13.5" customHeight="1">
      <c r="A13" s="31" t="s">
        <v>441</v>
      </c>
      <c r="B13" s="31" t="s">
        <v>442</v>
      </c>
      <c r="C13" s="31" t="s">
        <v>443</v>
      </c>
      <c r="D13" s="41" t="s">
        <v>444</v>
      </c>
      <c r="E13" s="53" t="s">
        <v>445</v>
      </c>
      <c r="F13" s="28"/>
      <c r="G13" s="28"/>
      <c r="H13" s="28" t="s">
        <v>128</v>
      </c>
      <c r="I13" s="28"/>
      <c r="J13" s="28"/>
      <c r="K13" s="31" t="s">
        <v>446</v>
      </c>
      <c r="L13" s="28"/>
      <c r="M13" s="28"/>
      <c r="N13" s="28"/>
      <c r="O13" s="28"/>
      <c r="P13" s="28"/>
      <c r="Q13" s="28"/>
      <c r="R13" s="28"/>
      <c r="S13" s="28"/>
      <c r="T13" s="28"/>
      <c r="U13" s="28"/>
      <c r="V13" s="28"/>
      <c r="W13" s="28"/>
      <c r="X13" s="28"/>
      <c r="Y13" s="28"/>
      <c r="Z13" s="28"/>
      <c r="AA13" s="28"/>
    </row>
    <row r="14" ht="13.5" customHeight="1">
      <c r="A14" s="28"/>
      <c r="B14" s="28"/>
      <c r="C14" s="28"/>
      <c r="D14" s="37"/>
      <c r="E14" s="51"/>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51"/>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51"/>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51"/>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51"/>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51"/>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51"/>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5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51"/>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51"/>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51"/>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51"/>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51"/>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51"/>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51"/>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51"/>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51"/>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51"/>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51"/>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51"/>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51"/>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51"/>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51"/>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51"/>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51"/>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51"/>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51"/>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51"/>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51"/>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51"/>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51"/>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51"/>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51"/>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51"/>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51"/>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51"/>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51"/>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51"/>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51"/>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51"/>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51"/>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51"/>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51"/>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51"/>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51"/>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51"/>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51"/>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51"/>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51"/>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51"/>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51"/>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51"/>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51"/>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51"/>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51"/>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51"/>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51"/>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51"/>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51"/>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51"/>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51"/>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51"/>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51"/>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51"/>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51"/>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51"/>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51"/>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51"/>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51"/>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51"/>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51"/>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51"/>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51"/>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51"/>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51"/>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51"/>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51"/>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51"/>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51"/>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51"/>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51"/>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51"/>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51"/>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51"/>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51"/>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51"/>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51"/>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51"/>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51"/>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51"/>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51"/>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51"/>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51"/>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51"/>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51"/>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51"/>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51"/>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51"/>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51"/>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51"/>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51"/>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51"/>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51"/>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51"/>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51"/>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51"/>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51"/>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51"/>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51"/>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51"/>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51"/>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51"/>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51"/>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51"/>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51"/>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51"/>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51"/>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51"/>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51"/>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51"/>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51"/>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51"/>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51"/>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51"/>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51"/>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51"/>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51"/>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51"/>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51"/>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51"/>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51"/>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51"/>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51"/>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51"/>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51"/>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51"/>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51"/>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51"/>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51"/>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51"/>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51"/>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51"/>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51"/>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51"/>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51"/>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51"/>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51"/>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51"/>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51"/>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51"/>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51"/>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51"/>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51"/>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51"/>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51"/>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51"/>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51"/>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51"/>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51"/>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51"/>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51"/>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51"/>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51"/>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51"/>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51"/>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51"/>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51"/>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51"/>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51"/>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51"/>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51"/>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51"/>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51"/>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51"/>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51"/>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51"/>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51"/>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51"/>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51"/>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51"/>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51"/>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51"/>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51"/>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51"/>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51"/>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51"/>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51"/>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51"/>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51"/>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51"/>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51"/>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51"/>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51"/>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51"/>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51"/>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51"/>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51"/>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51"/>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51"/>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51"/>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51"/>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51"/>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51"/>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51"/>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51"/>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51"/>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51"/>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51"/>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51"/>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51"/>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51"/>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51"/>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51"/>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51"/>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51"/>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51"/>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51"/>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51"/>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51"/>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51"/>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51"/>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51"/>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51"/>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51"/>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51"/>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51"/>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51"/>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51"/>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51"/>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51"/>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51"/>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51"/>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51"/>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51"/>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51"/>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51"/>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51"/>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51"/>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51"/>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51"/>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51"/>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51"/>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51"/>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51"/>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51"/>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51"/>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51"/>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51"/>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51"/>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51"/>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51"/>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51"/>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51"/>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51"/>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51"/>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51"/>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51"/>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51"/>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51"/>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51"/>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51"/>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51"/>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51"/>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51"/>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51"/>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51"/>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51"/>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51"/>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51"/>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51"/>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51"/>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51"/>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51"/>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51"/>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51"/>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51"/>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51"/>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51"/>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51"/>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51"/>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51"/>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51"/>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51"/>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51"/>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51"/>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51"/>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51"/>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51"/>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51"/>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51"/>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51"/>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51"/>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51"/>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51"/>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51"/>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51"/>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51"/>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51"/>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51"/>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51"/>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51"/>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51"/>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51"/>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51"/>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51"/>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51"/>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51"/>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51"/>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51"/>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51"/>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51"/>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51"/>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51"/>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51"/>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51"/>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51"/>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51"/>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51"/>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51"/>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51"/>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51"/>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51"/>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51"/>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51"/>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51"/>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51"/>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51"/>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51"/>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51"/>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51"/>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51"/>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51"/>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51"/>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51"/>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51"/>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51"/>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51"/>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51"/>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51"/>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51"/>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51"/>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51"/>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51"/>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51"/>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51"/>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51"/>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51"/>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51"/>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51"/>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51"/>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51"/>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51"/>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51"/>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51"/>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51"/>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51"/>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51"/>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51"/>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51"/>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51"/>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51"/>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51"/>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51"/>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51"/>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51"/>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51"/>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51"/>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51"/>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51"/>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51"/>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51"/>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51"/>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51"/>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51"/>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51"/>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51"/>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51"/>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51"/>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51"/>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51"/>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51"/>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51"/>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51"/>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51"/>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51"/>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51"/>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51"/>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51"/>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51"/>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51"/>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51"/>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51"/>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51"/>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51"/>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51"/>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51"/>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51"/>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51"/>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51"/>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51"/>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51"/>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51"/>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51"/>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51"/>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51"/>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51"/>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51"/>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51"/>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51"/>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51"/>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51"/>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51"/>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51"/>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51"/>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51"/>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51"/>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51"/>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51"/>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51"/>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51"/>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51"/>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51"/>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51"/>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51"/>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51"/>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51"/>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51"/>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51"/>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51"/>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51"/>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51"/>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51"/>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51"/>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51"/>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51"/>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51"/>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51"/>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51"/>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51"/>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51"/>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51"/>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51"/>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51"/>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51"/>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51"/>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51"/>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51"/>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51"/>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51"/>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51"/>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51"/>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51"/>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51"/>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51"/>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51"/>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51"/>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51"/>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51"/>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51"/>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51"/>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51"/>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51"/>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51"/>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51"/>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51"/>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51"/>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51"/>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51"/>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51"/>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51"/>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51"/>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51"/>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51"/>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51"/>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51"/>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51"/>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51"/>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51"/>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51"/>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51"/>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51"/>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51"/>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51"/>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51"/>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51"/>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51"/>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51"/>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51"/>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51"/>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51"/>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51"/>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51"/>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51"/>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51"/>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51"/>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51"/>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51"/>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51"/>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51"/>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51"/>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51"/>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51"/>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51"/>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51"/>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51"/>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51"/>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51"/>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51"/>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51"/>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51"/>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51"/>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51"/>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51"/>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51"/>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51"/>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51"/>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51"/>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51"/>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51"/>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51"/>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51"/>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51"/>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51"/>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51"/>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51"/>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51"/>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51"/>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51"/>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51"/>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51"/>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51"/>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51"/>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51"/>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51"/>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51"/>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51"/>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51"/>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51"/>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51"/>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51"/>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51"/>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51"/>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51"/>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51"/>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51"/>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51"/>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51"/>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51"/>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51"/>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51"/>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51"/>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51"/>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51"/>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51"/>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51"/>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51"/>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51"/>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51"/>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51"/>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51"/>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51"/>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51"/>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51"/>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51"/>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51"/>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51"/>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51"/>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51"/>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51"/>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51"/>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51"/>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51"/>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51"/>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51"/>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51"/>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51"/>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51"/>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51"/>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51"/>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51"/>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51"/>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51"/>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51"/>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51"/>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51"/>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51"/>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51"/>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51"/>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51"/>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51"/>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51"/>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51"/>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51"/>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51"/>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51"/>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51"/>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51"/>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51"/>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51"/>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51"/>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51"/>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51"/>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51"/>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51"/>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51"/>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51"/>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51"/>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51"/>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51"/>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51"/>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51"/>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51"/>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51"/>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51"/>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51"/>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51"/>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51"/>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51"/>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51"/>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51"/>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51"/>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51"/>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51"/>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51"/>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51"/>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51"/>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51"/>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51"/>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51"/>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51"/>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51"/>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51"/>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51"/>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51"/>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51"/>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51"/>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51"/>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51"/>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51"/>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51"/>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51"/>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51"/>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51"/>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51"/>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51"/>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51"/>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51"/>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51"/>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51"/>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51"/>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51"/>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51"/>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51"/>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51"/>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51"/>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51"/>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51"/>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51"/>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51"/>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51"/>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51"/>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51"/>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51"/>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51"/>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51"/>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51"/>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51"/>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51"/>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51"/>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51"/>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51"/>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51"/>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51"/>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51"/>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51"/>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51"/>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51"/>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51"/>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51"/>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51"/>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51"/>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51"/>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51"/>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51"/>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51"/>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51"/>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51"/>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51"/>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51"/>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51"/>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51"/>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51"/>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51"/>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51"/>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51"/>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51"/>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51"/>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51"/>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51"/>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51"/>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51"/>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51"/>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51"/>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51"/>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51"/>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51"/>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51"/>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51"/>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51"/>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51"/>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51"/>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51"/>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51"/>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51"/>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51"/>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51"/>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51"/>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51"/>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51"/>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51"/>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51"/>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51"/>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51"/>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51"/>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51"/>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51"/>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51"/>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51"/>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51"/>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51"/>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51"/>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51"/>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51"/>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51"/>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51"/>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51"/>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51"/>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51"/>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51"/>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51"/>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51"/>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51"/>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51"/>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51"/>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51"/>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51"/>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51"/>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51"/>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51"/>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51"/>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51"/>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51"/>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51"/>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51"/>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51"/>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51"/>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51"/>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51"/>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51"/>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51"/>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51"/>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51"/>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51"/>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51"/>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51"/>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51"/>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51"/>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51"/>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51"/>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51"/>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51"/>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51"/>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51"/>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51"/>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51"/>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51"/>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51"/>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51"/>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51"/>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51"/>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51"/>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51"/>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51"/>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51"/>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51"/>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51"/>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51"/>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51"/>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51"/>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51"/>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51"/>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51"/>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51"/>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51"/>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51"/>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51"/>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51"/>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51"/>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51"/>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51"/>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51"/>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51"/>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51"/>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51"/>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51"/>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51"/>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51"/>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51"/>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51"/>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51"/>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51"/>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51"/>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51"/>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51"/>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51"/>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51"/>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51"/>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51"/>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51"/>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51"/>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51"/>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51"/>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51"/>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51"/>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51"/>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51"/>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51"/>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51"/>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51"/>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51"/>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51"/>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51"/>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51"/>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51"/>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51"/>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51"/>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51"/>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51"/>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51"/>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51"/>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51"/>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51"/>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51"/>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51"/>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51"/>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51"/>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51"/>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51"/>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51"/>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51"/>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51"/>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51"/>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51"/>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51"/>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51"/>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51"/>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51"/>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51"/>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51"/>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51"/>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51"/>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51"/>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51"/>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51"/>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51"/>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51"/>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51"/>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51"/>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51"/>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51"/>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51"/>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51"/>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51"/>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51"/>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51"/>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51"/>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51"/>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51"/>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51"/>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51"/>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51"/>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51"/>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51"/>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51"/>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51"/>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51"/>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51"/>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51"/>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51"/>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51"/>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51"/>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51"/>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51"/>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51"/>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51"/>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51"/>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51"/>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51"/>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51"/>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51"/>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51"/>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51"/>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51"/>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51"/>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51"/>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51"/>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51"/>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51"/>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51"/>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51"/>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51"/>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51"/>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51"/>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51"/>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51"/>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51"/>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51"/>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51"/>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51"/>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51"/>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51"/>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51"/>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51"/>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51"/>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51"/>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51"/>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51"/>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51"/>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51"/>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51"/>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51"/>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51"/>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51"/>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51"/>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51"/>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51"/>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51"/>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51"/>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51"/>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51"/>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51"/>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51"/>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51"/>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51"/>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51"/>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51"/>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51"/>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51"/>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51"/>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51"/>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51"/>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51"/>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51"/>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51"/>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51"/>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51"/>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51"/>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51"/>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51"/>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51"/>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51"/>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51"/>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51"/>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51"/>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51"/>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51"/>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51"/>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51"/>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51"/>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51"/>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51"/>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51"/>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51"/>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51"/>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51"/>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51"/>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51"/>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51"/>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51"/>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51"/>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37"/>
      <c r="E994" s="51"/>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37"/>
      <c r="E995" s="51"/>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37"/>
      <c r="E996" s="51"/>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37"/>
      <c r="E997" s="51"/>
      <c r="F997" s="28"/>
      <c r="G997" s="28"/>
      <c r="H997" s="28"/>
      <c r="I997" s="28"/>
      <c r="J997" s="28"/>
      <c r="K997" s="28"/>
      <c r="L997" s="28"/>
      <c r="M997" s="28"/>
      <c r="N997" s="28"/>
      <c r="O997" s="28"/>
      <c r="P997" s="28"/>
      <c r="Q997" s="28"/>
      <c r="R997" s="28"/>
      <c r="S997" s="28"/>
      <c r="T997" s="28"/>
      <c r="U997" s="28"/>
      <c r="V997" s="28"/>
      <c r="W997" s="28"/>
      <c r="X997" s="28"/>
      <c r="Y997" s="28"/>
      <c r="Z997" s="28"/>
      <c r="AA997" s="28"/>
    </row>
  </sheetData>
  <mergeCells count="9">
    <mergeCell ref="A11:A12"/>
    <mergeCell ref="B11:B12"/>
    <mergeCell ref="A1:K1"/>
    <mergeCell ref="A4:A5"/>
    <mergeCell ref="B4:B5"/>
    <mergeCell ref="A6:A7"/>
    <mergeCell ref="B6:B7"/>
    <mergeCell ref="A8:A10"/>
    <mergeCell ref="B8:B10"/>
  </mergeCells>
  <printOptions/>
  <pageMargins bottom="0.75" footer="0.0" header="0.0" left="0.7" right="0.7" top="0.75"/>
  <pageSetup paperSize="9" orientation="portrait"/>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56" t="s">
        <v>447</v>
      </c>
      <c r="B1" s="2"/>
      <c r="C1" s="2"/>
      <c r="D1" s="2"/>
      <c r="E1" s="2"/>
      <c r="F1" s="2"/>
      <c r="G1" s="2"/>
      <c r="H1" s="2"/>
      <c r="I1" s="2"/>
      <c r="J1" s="2"/>
      <c r="K1" s="3"/>
    </row>
    <row r="2" ht="13.5" customHeight="1"/>
    <row r="3" ht="13.5" customHeight="1">
      <c r="A3" s="4" t="s">
        <v>50</v>
      </c>
      <c r="B3" s="5" t="s">
        <v>4</v>
      </c>
      <c r="C3" s="4" t="s">
        <v>51</v>
      </c>
      <c r="D3" s="5" t="s">
        <v>52</v>
      </c>
      <c r="E3" s="5" t="s">
        <v>53</v>
      </c>
      <c r="F3" s="4" t="s">
        <v>54</v>
      </c>
      <c r="G3" s="4" t="s">
        <v>55</v>
      </c>
      <c r="H3" s="4" t="s">
        <v>56</v>
      </c>
      <c r="I3" s="4" t="s">
        <v>57</v>
      </c>
      <c r="J3" s="4" t="s">
        <v>58</v>
      </c>
      <c r="K3" s="4" t="s">
        <v>59</v>
      </c>
    </row>
    <row r="4" ht="13.5" customHeight="1">
      <c r="A4" s="6" t="s">
        <v>448</v>
      </c>
      <c r="B4" s="6" t="s">
        <v>449</v>
      </c>
      <c r="C4" s="9" t="s">
        <v>450</v>
      </c>
      <c r="D4" s="10" t="s">
        <v>451</v>
      </c>
      <c r="E4" s="10" t="s">
        <v>452</v>
      </c>
      <c r="H4" s="9" t="s">
        <v>128</v>
      </c>
      <c r="K4" s="10" t="s">
        <v>453</v>
      </c>
    </row>
    <row r="5" ht="13.5" customHeight="1">
      <c r="C5" s="9" t="s">
        <v>454</v>
      </c>
      <c r="D5" s="10" t="s">
        <v>455</v>
      </c>
      <c r="H5" s="10">
        <v>100.0</v>
      </c>
      <c r="K5" s="10" t="s">
        <v>456</v>
      </c>
    </row>
    <row r="6" ht="13.5" customHeight="1">
      <c r="A6" s="7" t="s">
        <v>457</v>
      </c>
      <c r="B6" s="7" t="s">
        <v>458</v>
      </c>
      <c r="C6" s="9" t="s">
        <v>459</v>
      </c>
      <c r="D6" s="10" t="s">
        <v>460</v>
      </c>
      <c r="H6" s="9" t="s">
        <v>128</v>
      </c>
    </row>
    <row r="7" ht="13.5" customHeight="1">
      <c r="C7" s="9" t="s">
        <v>461</v>
      </c>
      <c r="D7" s="10" t="s">
        <v>462</v>
      </c>
      <c r="H7" s="9" t="s">
        <v>66</v>
      </c>
    </row>
    <row r="8" ht="13.5" customHeight="1">
      <c r="C8" s="9" t="s">
        <v>463</v>
      </c>
      <c r="D8" s="10" t="s">
        <v>464</v>
      </c>
      <c r="H8" s="9" t="s">
        <v>69</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5">
    <mergeCell ref="A1:K1"/>
    <mergeCell ref="A4:A5"/>
    <mergeCell ref="B4:B5"/>
    <mergeCell ref="A6:A8"/>
    <mergeCell ref="B6:B8"/>
  </mergeCell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465</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466</v>
      </c>
      <c r="B4" s="7" t="s">
        <v>467</v>
      </c>
      <c r="C4" s="9" t="s">
        <v>468</v>
      </c>
      <c r="D4" s="9" t="s">
        <v>469</v>
      </c>
      <c r="H4" s="9" t="s">
        <v>128</v>
      </c>
    </row>
    <row r="5" ht="13.5" customHeight="1">
      <c r="C5" s="9" t="s">
        <v>470</v>
      </c>
      <c r="D5" s="10" t="s">
        <v>471</v>
      </c>
      <c r="H5" s="9" t="s">
        <v>66</v>
      </c>
    </row>
    <row r="6" ht="13.5" customHeight="1">
      <c r="C6" s="9" t="s">
        <v>472</v>
      </c>
      <c r="D6" s="9" t="s">
        <v>473</v>
      </c>
      <c r="H6" s="9" t="s">
        <v>69</v>
      </c>
    </row>
    <row r="7" ht="13.5" customHeight="1">
      <c r="C7" s="9" t="s">
        <v>474</v>
      </c>
      <c r="D7" s="10" t="s">
        <v>475</v>
      </c>
      <c r="H7" s="9" t="s">
        <v>72</v>
      </c>
    </row>
    <row r="8" ht="13.5" customHeight="1">
      <c r="C8" s="9" t="s">
        <v>476</v>
      </c>
      <c r="D8" s="10" t="s">
        <v>477</v>
      </c>
      <c r="H8" s="9" t="s">
        <v>75</v>
      </c>
    </row>
    <row r="9" ht="13.5" customHeight="1">
      <c r="C9" s="9" t="s">
        <v>478</v>
      </c>
      <c r="D9" s="10" t="s">
        <v>479</v>
      </c>
      <c r="H9" s="9" t="s">
        <v>78</v>
      </c>
    </row>
    <row r="10" ht="13.5" customHeight="1">
      <c r="C10" s="9" t="s">
        <v>480</v>
      </c>
      <c r="D10" s="10" t="s">
        <v>481</v>
      </c>
      <c r="H10" s="9" t="s">
        <v>81</v>
      </c>
    </row>
    <row r="11" ht="13.5" customHeight="1">
      <c r="C11" s="9" t="s">
        <v>482</v>
      </c>
      <c r="D11" s="9" t="s">
        <v>483</v>
      </c>
      <c r="H11" s="9" t="s">
        <v>84</v>
      </c>
    </row>
    <row r="12" ht="13.5" customHeight="1">
      <c r="C12" s="9" t="s">
        <v>484</v>
      </c>
      <c r="D12" s="10" t="s">
        <v>485</v>
      </c>
      <c r="H12" s="9" t="s">
        <v>87</v>
      </c>
    </row>
    <row r="13" ht="13.5" customHeight="1">
      <c r="C13" s="9" t="s">
        <v>486</v>
      </c>
      <c r="D13" s="10" t="s">
        <v>487</v>
      </c>
      <c r="H13" s="9" t="s">
        <v>90</v>
      </c>
    </row>
    <row r="14" ht="13.5" customHeight="1">
      <c r="C14" s="9" t="s">
        <v>488</v>
      </c>
      <c r="D14" s="10" t="s">
        <v>489</v>
      </c>
      <c r="H14" s="9" t="s">
        <v>93</v>
      </c>
    </row>
    <row r="15" ht="13.5" customHeight="1">
      <c r="C15" s="9" t="s">
        <v>490</v>
      </c>
      <c r="D15" s="10" t="s">
        <v>491</v>
      </c>
      <c r="H15" s="9" t="s">
        <v>96</v>
      </c>
    </row>
    <row r="16" ht="13.5" customHeight="1">
      <c r="C16" s="9" t="s">
        <v>492</v>
      </c>
      <c r="D16" s="10" t="s">
        <v>493</v>
      </c>
      <c r="H16" s="9" t="s">
        <v>99</v>
      </c>
    </row>
    <row r="17" ht="13.5" customHeight="1">
      <c r="C17" s="10" t="s">
        <v>494</v>
      </c>
      <c r="D17" s="10" t="s">
        <v>495</v>
      </c>
      <c r="H17" s="9" t="s">
        <v>102</v>
      </c>
    </row>
    <row r="18" ht="13.5" customHeight="1">
      <c r="C18" s="9" t="s">
        <v>496</v>
      </c>
      <c r="D18" s="10" t="s">
        <v>497</v>
      </c>
      <c r="H18" s="9" t="s">
        <v>105</v>
      </c>
    </row>
    <row r="19" ht="13.5" customHeight="1">
      <c r="C19" s="9" t="s">
        <v>498</v>
      </c>
      <c r="D19" s="10" t="s">
        <v>499</v>
      </c>
      <c r="H19" s="9" t="s">
        <v>109</v>
      </c>
    </row>
    <row r="20" ht="13.5" customHeight="1">
      <c r="C20" s="9" t="s">
        <v>500</v>
      </c>
      <c r="D20" s="10" t="s">
        <v>501</v>
      </c>
      <c r="H20" s="9" t="s">
        <v>113</v>
      </c>
    </row>
    <row r="21" ht="13.5" customHeight="1">
      <c r="C21" s="9" t="s">
        <v>502</v>
      </c>
      <c r="D21" s="10" t="s">
        <v>503</v>
      </c>
      <c r="H21" s="9" t="s">
        <v>118</v>
      </c>
    </row>
    <row r="22" ht="13.5" customHeight="1">
      <c r="C22" s="9" t="s">
        <v>504</v>
      </c>
      <c r="D22" s="10" t="s">
        <v>505</v>
      </c>
      <c r="H22" s="9" t="s">
        <v>122</v>
      </c>
    </row>
    <row r="23" ht="13.5" customHeight="1">
      <c r="C23" s="9" t="s">
        <v>506</v>
      </c>
      <c r="D23" s="10" t="s">
        <v>507</v>
      </c>
      <c r="H23" s="9" t="s">
        <v>508</v>
      </c>
    </row>
    <row r="24" ht="13.5" customHeight="1">
      <c r="A24" s="7" t="s">
        <v>509</v>
      </c>
      <c r="B24" s="7" t="s">
        <v>510</v>
      </c>
      <c r="C24" s="9" t="s">
        <v>511</v>
      </c>
      <c r="D24" s="10" t="s">
        <v>512</v>
      </c>
      <c r="H24" s="9" t="s">
        <v>128</v>
      </c>
    </row>
    <row r="25" ht="13.5" customHeight="1">
      <c r="C25" s="9" t="s">
        <v>513</v>
      </c>
      <c r="D25" s="9" t="s">
        <v>514</v>
      </c>
      <c r="H25" s="9" t="s">
        <v>66</v>
      </c>
    </row>
    <row r="26" ht="13.5" customHeight="1">
      <c r="C26" s="9" t="s">
        <v>515</v>
      </c>
      <c r="D26" s="9" t="s">
        <v>516</v>
      </c>
      <c r="H26" s="9" t="s">
        <v>69</v>
      </c>
    </row>
    <row r="27" ht="13.5" customHeight="1">
      <c r="C27" s="9" t="s">
        <v>517</v>
      </c>
      <c r="D27" s="10" t="s">
        <v>518</v>
      </c>
      <c r="H27" s="9" t="s">
        <v>72</v>
      </c>
    </row>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35" t="s">
        <v>519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520</v>
      </c>
      <c r="B4" s="6" t="s">
        <v>521</v>
      </c>
      <c r="C4" s="31" t="s">
        <v>522</v>
      </c>
      <c r="D4" s="28" t="s">
        <v>523</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31" t="s">
        <v>524</v>
      </c>
      <c r="D5" s="28" t="s">
        <v>525</v>
      </c>
      <c r="E5" s="28"/>
      <c r="F5" s="28"/>
      <c r="G5" s="28"/>
      <c r="H5" s="28" t="s">
        <v>66</v>
      </c>
      <c r="I5" s="28"/>
      <c r="J5" s="31" t="s">
        <v>526</v>
      </c>
      <c r="K5" s="28"/>
      <c r="L5" s="28"/>
      <c r="M5" s="28"/>
      <c r="N5" s="28"/>
      <c r="O5" s="28"/>
      <c r="P5" s="28"/>
      <c r="Q5" s="28"/>
      <c r="R5" s="28"/>
      <c r="S5" s="28"/>
      <c r="T5" s="28"/>
      <c r="U5" s="28"/>
      <c r="V5" s="28"/>
      <c r="W5" s="28"/>
      <c r="X5" s="28"/>
      <c r="Y5" s="28"/>
      <c r="Z5" s="28"/>
      <c r="AA5" s="28"/>
    </row>
    <row r="6" ht="13.5" customHeight="1">
      <c r="A6" s="7" t="s">
        <v>31</v>
      </c>
      <c r="B6" s="7" t="s">
        <v>527</v>
      </c>
      <c r="C6" s="28" t="s">
        <v>528</v>
      </c>
      <c r="D6" s="28" t="s">
        <v>529</v>
      </c>
      <c r="E6" s="28"/>
      <c r="F6" s="28" t="s">
        <v>530</v>
      </c>
      <c r="G6" s="28"/>
      <c r="H6" s="28" t="s">
        <v>128</v>
      </c>
      <c r="I6" s="28"/>
      <c r="J6" s="28"/>
      <c r="K6" s="28"/>
      <c r="L6" s="28"/>
      <c r="M6" s="28"/>
      <c r="N6" s="28"/>
      <c r="O6" s="28"/>
      <c r="P6" s="28"/>
      <c r="Q6" s="28"/>
      <c r="R6" s="28"/>
      <c r="S6" s="28"/>
      <c r="T6" s="28"/>
      <c r="U6" s="28"/>
      <c r="V6" s="28"/>
      <c r="W6" s="28"/>
      <c r="X6" s="28"/>
      <c r="Y6" s="28"/>
      <c r="Z6" s="28"/>
      <c r="AA6" s="28"/>
    </row>
    <row r="7" ht="13.5" customHeight="1">
      <c r="C7" s="28" t="s">
        <v>531</v>
      </c>
      <c r="D7" s="28" t="s">
        <v>532</v>
      </c>
      <c r="E7" s="28"/>
      <c r="F7" s="28" t="s">
        <v>530</v>
      </c>
      <c r="G7" s="28"/>
      <c r="H7" s="28" t="s">
        <v>66</v>
      </c>
      <c r="I7" s="28"/>
      <c r="J7" s="28"/>
      <c r="K7" s="28"/>
      <c r="L7" s="28"/>
      <c r="M7" s="28"/>
      <c r="N7" s="28"/>
      <c r="O7" s="28"/>
      <c r="P7" s="28"/>
      <c r="Q7" s="28"/>
      <c r="R7" s="28"/>
      <c r="S7" s="28"/>
      <c r="T7" s="28"/>
      <c r="U7" s="28"/>
      <c r="V7" s="28"/>
      <c r="W7" s="28"/>
      <c r="X7" s="28"/>
      <c r="Y7" s="28"/>
      <c r="Z7" s="28"/>
      <c r="AA7" s="28"/>
    </row>
    <row r="8" ht="13.5" customHeight="1">
      <c r="C8" s="31" t="s">
        <v>533</v>
      </c>
      <c r="D8" s="31" t="s">
        <v>534</v>
      </c>
      <c r="E8" s="28"/>
      <c r="F8" s="28" t="s">
        <v>530</v>
      </c>
      <c r="G8" s="28"/>
      <c r="H8" s="28" t="s">
        <v>69</v>
      </c>
      <c r="I8" s="28"/>
      <c r="J8" s="28"/>
      <c r="K8" s="28"/>
      <c r="L8" s="28"/>
      <c r="M8" s="28"/>
      <c r="N8" s="28"/>
      <c r="O8" s="28"/>
      <c r="P8" s="28"/>
      <c r="Q8" s="28"/>
      <c r="R8" s="28"/>
      <c r="S8" s="28"/>
      <c r="T8" s="28"/>
      <c r="U8" s="28"/>
      <c r="V8" s="28"/>
      <c r="W8" s="28"/>
      <c r="X8" s="28"/>
      <c r="Y8" s="28"/>
      <c r="Z8" s="28"/>
      <c r="AA8" s="28"/>
    </row>
    <row r="9" ht="13.5" customHeight="1">
      <c r="C9" s="28" t="s">
        <v>535</v>
      </c>
      <c r="D9" s="28" t="s">
        <v>536</v>
      </c>
      <c r="E9" s="28"/>
      <c r="F9" s="28" t="s">
        <v>530</v>
      </c>
      <c r="G9" s="28"/>
      <c r="H9" s="28" t="s">
        <v>72</v>
      </c>
      <c r="I9" s="28"/>
      <c r="J9" s="28"/>
      <c r="K9" s="28"/>
      <c r="L9" s="28"/>
      <c r="M9" s="28"/>
      <c r="N9" s="28"/>
      <c r="O9" s="28"/>
      <c r="P9" s="28"/>
      <c r="Q9" s="28"/>
      <c r="R9" s="28"/>
      <c r="S9" s="28"/>
      <c r="T9" s="28"/>
      <c r="U9" s="28"/>
      <c r="V9" s="28"/>
      <c r="W9" s="28"/>
      <c r="X9" s="28"/>
      <c r="Y9" s="28"/>
      <c r="Z9" s="28"/>
      <c r="AA9" s="28"/>
    </row>
    <row r="10" ht="13.5" customHeight="1">
      <c r="C10" s="28" t="s">
        <v>537</v>
      </c>
      <c r="D10" s="28" t="s">
        <v>538</v>
      </c>
      <c r="E10" s="28"/>
      <c r="F10" s="28" t="s">
        <v>530</v>
      </c>
      <c r="G10" s="28"/>
      <c r="H10" s="28" t="s">
        <v>75</v>
      </c>
      <c r="I10" s="28"/>
      <c r="J10" s="28"/>
      <c r="K10" s="28"/>
      <c r="L10" s="28"/>
      <c r="M10" s="28"/>
      <c r="N10" s="28"/>
      <c r="O10" s="28"/>
      <c r="P10" s="28"/>
      <c r="Q10" s="28"/>
      <c r="R10" s="28"/>
      <c r="S10" s="28"/>
      <c r="T10" s="28"/>
      <c r="U10" s="28"/>
      <c r="V10" s="28"/>
      <c r="W10" s="28"/>
      <c r="X10" s="28"/>
      <c r="Y10" s="28"/>
      <c r="Z10" s="28"/>
      <c r="AA10" s="28"/>
    </row>
    <row r="11" ht="13.5" customHeight="1">
      <c r="C11" s="31" t="s">
        <v>539</v>
      </c>
      <c r="D11" s="31" t="s">
        <v>540</v>
      </c>
      <c r="E11" s="28"/>
      <c r="F11" s="28" t="s">
        <v>530</v>
      </c>
      <c r="G11" s="28"/>
      <c r="H11" s="28" t="s">
        <v>78</v>
      </c>
      <c r="I11" s="28"/>
      <c r="J11" s="28"/>
      <c r="K11" s="28"/>
      <c r="L11" s="28"/>
      <c r="M11" s="28"/>
      <c r="N11" s="28"/>
      <c r="O11" s="28"/>
      <c r="P11" s="28"/>
      <c r="Q11" s="28"/>
      <c r="R11" s="28"/>
      <c r="S11" s="28"/>
      <c r="T11" s="28"/>
      <c r="U11" s="28"/>
      <c r="V11" s="28"/>
      <c r="W11" s="28"/>
      <c r="X11" s="28"/>
      <c r="Y11" s="28"/>
      <c r="Z11" s="28"/>
      <c r="AA11" s="28"/>
    </row>
    <row r="12" ht="13.5" customHeight="1">
      <c r="C12" s="28" t="s">
        <v>541</v>
      </c>
      <c r="D12" s="28" t="s">
        <v>542</v>
      </c>
      <c r="E12" s="28"/>
      <c r="F12" s="28" t="s">
        <v>530</v>
      </c>
      <c r="G12" s="28"/>
      <c r="H12" s="28" t="s">
        <v>81</v>
      </c>
      <c r="I12" s="28"/>
      <c r="J12" s="28"/>
      <c r="K12" s="28"/>
      <c r="L12" s="28"/>
      <c r="M12" s="28"/>
      <c r="N12" s="28"/>
      <c r="O12" s="28"/>
      <c r="P12" s="28"/>
      <c r="Q12" s="28"/>
      <c r="R12" s="28"/>
      <c r="S12" s="28"/>
      <c r="T12" s="28"/>
      <c r="U12" s="28"/>
      <c r="V12" s="28"/>
      <c r="W12" s="28"/>
      <c r="X12" s="28"/>
      <c r="Y12" s="28"/>
      <c r="Z12" s="28"/>
      <c r="AA12" s="28"/>
    </row>
    <row r="13" ht="13.5" customHeight="1">
      <c r="C13" s="28" t="s">
        <v>543</v>
      </c>
      <c r="D13" s="28" t="s">
        <v>544</v>
      </c>
      <c r="E13" s="28"/>
      <c r="F13" s="28" t="s">
        <v>530</v>
      </c>
      <c r="G13" s="28"/>
      <c r="H13" s="28" t="s">
        <v>84</v>
      </c>
      <c r="I13" s="28"/>
      <c r="J13" s="28"/>
      <c r="K13" s="28"/>
      <c r="L13" s="28"/>
      <c r="M13" s="28"/>
      <c r="N13" s="28"/>
      <c r="O13" s="28"/>
      <c r="P13" s="28"/>
      <c r="Q13" s="28"/>
      <c r="R13" s="28"/>
      <c r="S13" s="28"/>
      <c r="T13" s="28"/>
      <c r="U13" s="28"/>
      <c r="V13" s="28"/>
      <c r="W13" s="28"/>
      <c r="X13" s="28"/>
      <c r="Y13" s="28"/>
      <c r="Z13" s="28"/>
      <c r="AA13" s="28"/>
    </row>
    <row r="14" ht="13.5" customHeight="1">
      <c r="C14" s="31" t="s">
        <v>545</v>
      </c>
      <c r="D14" s="31" t="s">
        <v>546</v>
      </c>
      <c r="E14" s="28"/>
      <c r="F14" s="28" t="s">
        <v>530</v>
      </c>
      <c r="G14" s="28"/>
      <c r="H14" s="28" t="s">
        <v>87</v>
      </c>
      <c r="I14" s="28"/>
      <c r="J14" s="28"/>
      <c r="K14" s="28"/>
      <c r="L14" s="28"/>
      <c r="M14" s="28"/>
      <c r="N14" s="28"/>
      <c r="O14" s="28"/>
      <c r="P14" s="28"/>
      <c r="Q14" s="28"/>
      <c r="R14" s="28"/>
      <c r="S14" s="28"/>
      <c r="T14" s="28"/>
      <c r="U14" s="28"/>
      <c r="V14" s="28"/>
      <c r="W14" s="28"/>
      <c r="X14" s="28"/>
      <c r="Y14" s="28"/>
      <c r="Z14" s="28"/>
      <c r="AA14" s="28"/>
    </row>
    <row r="15" ht="13.5" customHeight="1">
      <c r="C15" s="28" t="s">
        <v>547</v>
      </c>
      <c r="D15" s="31" t="s">
        <v>548</v>
      </c>
      <c r="E15" s="28"/>
      <c r="F15" s="28" t="s">
        <v>530</v>
      </c>
      <c r="G15" s="28"/>
      <c r="H15" s="28" t="s">
        <v>90</v>
      </c>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6"/>
      <c r="C19" s="28"/>
      <c r="D19" s="28"/>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6"/>
      <c r="C20" s="28"/>
      <c r="D20" s="28"/>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6"/>
      <c r="C21" s="28"/>
      <c r="D21" s="28"/>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6"/>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row>
  </sheetData>
  <mergeCells count="5">
    <mergeCell ref="A1:K1"/>
    <mergeCell ref="A4:A5"/>
    <mergeCell ref="B4:B5"/>
    <mergeCell ref="A6:A15"/>
    <mergeCell ref="B6:B15"/>
  </mergeCells>
  <printOptions/>
  <pageMargins bottom="0.75" footer="0.0" header="0.0" left="0.7" right="0.7" top="0.75"/>
  <pageSetup paperSize="9"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549</v>
      </c>
      <c r="B1" s="2"/>
      <c r="C1" s="2"/>
      <c r="D1" s="2"/>
      <c r="E1" s="2"/>
      <c r="F1" s="2"/>
      <c r="G1" s="2"/>
      <c r="H1" s="2"/>
      <c r="I1" s="2"/>
      <c r="J1" s="2"/>
      <c r="K1" s="3"/>
    </row>
    <row r="2" ht="13.5" customHeight="1">
      <c r="D2" s="57"/>
    </row>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550</v>
      </c>
      <c r="B4" s="6" t="s">
        <v>551</v>
      </c>
      <c r="C4" s="9" t="s">
        <v>552</v>
      </c>
      <c r="D4" s="9" t="s">
        <v>553</v>
      </c>
      <c r="H4" s="9" t="s">
        <v>128</v>
      </c>
    </row>
    <row r="5" ht="13.5" customHeight="1">
      <c r="C5" s="9" t="s">
        <v>554</v>
      </c>
      <c r="D5" s="9" t="s">
        <v>555</v>
      </c>
      <c r="H5" s="9" t="s">
        <v>66</v>
      </c>
    </row>
    <row r="6" ht="13.5" customHeight="1">
      <c r="C6" s="9" t="s">
        <v>556</v>
      </c>
      <c r="D6" s="10" t="s">
        <v>557</v>
      </c>
      <c r="H6" s="9" t="s">
        <v>69</v>
      </c>
    </row>
    <row r="7" ht="13.5" customHeight="1">
      <c r="C7" s="9" t="s">
        <v>558</v>
      </c>
      <c r="D7" s="9" t="s">
        <v>559</v>
      </c>
      <c r="H7" s="9" t="s">
        <v>72</v>
      </c>
    </row>
    <row r="8" ht="13.5" customHeight="1">
      <c r="C8" s="9" t="s">
        <v>560</v>
      </c>
      <c r="D8" s="9" t="s">
        <v>561</v>
      </c>
      <c r="H8" s="9" t="s">
        <v>75</v>
      </c>
    </row>
    <row r="9" ht="13.5" customHeight="1">
      <c r="C9" s="9" t="s">
        <v>562</v>
      </c>
      <c r="D9" s="9" t="s">
        <v>563</v>
      </c>
      <c r="H9" s="9" t="s">
        <v>78</v>
      </c>
    </row>
    <row r="10" ht="13.5" customHeight="1">
      <c r="C10" s="9" t="s">
        <v>564</v>
      </c>
      <c r="D10" s="9" t="s">
        <v>101</v>
      </c>
      <c r="H10" s="9" t="s">
        <v>81</v>
      </c>
    </row>
    <row r="11" ht="13.5" customHeight="1">
      <c r="C11" s="9" t="s">
        <v>565</v>
      </c>
      <c r="D11" s="10" t="s">
        <v>566</v>
      </c>
      <c r="H11" s="9" t="s">
        <v>84</v>
      </c>
    </row>
    <row r="12" ht="13.5" customHeight="1">
      <c r="C12" s="9" t="s">
        <v>567</v>
      </c>
      <c r="D12" s="9" t="s">
        <v>568</v>
      </c>
      <c r="H12" s="9" t="s">
        <v>87</v>
      </c>
    </row>
    <row r="13" ht="13.5" customHeight="1">
      <c r="C13" s="9" t="s">
        <v>569</v>
      </c>
      <c r="D13" s="9" t="s">
        <v>570</v>
      </c>
      <c r="H13" s="9" t="s">
        <v>90</v>
      </c>
    </row>
    <row r="14" ht="13.5" customHeight="1">
      <c r="C14" s="9" t="s">
        <v>571</v>
      </c>
      <c r="D14" s="10" t="s">
        <v>572</v>
      </c>
      <c r="H14" s="9" t="s">
        <v>93</v>
      </c>
    </row>
    <row r="15" ht="13.5" customHeight="1">
      <c r="A15" s="6" t="s">
        <v>573</v>
      </c>
      <c r="B15" s="6" t="s">
        <v>574</v>
      </c>
      <c r="C15" s="9" t="s">
        <v>575</v>
      </c>
      <c r="D15" s="10" t="s">
        <v>576</v>
      </c>
      <c r="H15" s="9" t="s">
        <v>128</v>
      </c>
    </row>
    <row r="16" ht="13.5" customHeight="1">
      <c r="C16" s="9" t="s">
        <v>577</v>
      </c>
      <c r="D16" s="10" t="s">
        <v>578</v>
      </c>
      <c r="H16" s="9" t="s">
        <v>66</v>
      </c>
    </row>
    <row r="17" ht="13.5" customHeight="1">
      <c r="C17" s="9" t="s">
        <v>579</v>
      </c>
      <c r="D17" s="10" t="s">
        <v>580</v>
      </c>
      <c r="H17" s="9" t="s">
        <v>69</v>
      </c>
    </row>
    <row r="18" ht="13.5" customHeight="1">
      <c r="C18" s="9" t="s">
        <v>581</v>
      </c>
      <c r="D18" s="9" t="s">
        <v>582</v>
      </c>
      <c r="H18" s="9" t="s">
        <v>72</v>
      </c>
    </row>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56" t="s">
        <v>583</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584</v>
      </c>
      <c r="B4" s="7" t="s">
        <v>585</v>
      </c>
      <c r="C4" s="10" t="s">
        <v>586</v>
      </c>
      <c r="D4" s="9" t="s">
        <v>587</v>
      </c>
      <c r="H4" s="58">
        <v>0.0</v>
      </c>
    </row>
    <row r="5" ht="13.5" customHeight="1">
      <c r="C5" s="10" t="s">
        <v>588</v>
      </c>
      <c r="D5" s="10" t="s">
        <v>589</v>
      </c>
      <c r="H5" s="58">
        <v>100.0</v>
      </c>
    </row>
    <row r="6" ht="13.5" customHeight="1">
      <c r="C6" s="10" t="s">
        <v>590</v>
      </c>
      <c r="D6" s="10" t="s">
        <v>591</v>
      </c>
      <c r="H6" s="58">
        <v>200.0</v>
      </c>
    </row>
    <row r="7" ht="13.5" customHeight="1">
      <c r="C7" s="10" t="s">
        <v>592</v>
      </c>
      <c r="D7" s="10" t="s">
        <v>593</v>
      </c>
      <c r="H7" s="58">
        <v>300.0</v>
      </c>
    </row>
    <row r="8" ht="13.5" customHeight="1">
      <c r="C8" s="10" t="s">
        <v>594</v>
      </c>
      <c r="D8" s="10" t="s">
        <v>595</v>
      </c>
      <c r="H8" s="58">
        <v>400.0</v>
      </c>
    </row>
    <row r="9" ht="13.5" customHeight="1">
      <c r="C9" s="10" t="s">
        <v>596</v>
      </c>
      <c r="D9" s="10" t="s">
        <v>597</v>
      </c>
      <c r="H9" s="58">
        <v>500.0</v>
      </c>
    </row>
    <row r="10" ht="13.5" customHeight="1">
      <c r="C10" s="10" t="s">
        <v>598</v>
      </c>
      <c r="D10" s="10" t="s">
        <v>599</v>
      </c>
      <c r="H10" s="58">
        <v>600.0</v>
      </c>
    </row>
    <row r="11" ht="13.5" customHeight="1">
      <c r="C11" s="10" t="s">
        <v>600</v>
      </c>
      <c r="D11" s="9" t="s">
        <v>601</v>
      </c>
      <c r="H11" s="58">
        <v>700.0</v>
      </c>
    </row>
    <row r="12" ht="13.5" customHeight="1">
      <c r="C12" s="10" t="s">
        <v>602</v>
      </c>
      <c r="D12" s="9" t="s">
        <v>603</v>
      </c>
      <c r="H12" s="58">
        <v>800.0</v>
      </c>
    </row>
    <row r="13" ht="13.5" customHeight="1">
      <c r="C13" s="10" t="s">
        <v>604</v>
      </c>
      <c r="D13" s="10" t="s">
        <v>605</v>
      </c>
      <c r="H13" s="58">
        <v>900.0</v>
      </c>
    </row>
    <row r="14" ht="13.5" customHeight="1">
      <c r="A14" s="6" t="s">
        <v>606</v>
      </c>
      <c r="B14" s="6" t="s">
        <v>607</v>
      </c>
      <c r="C14" s="9" t="s">
        <v>608</v>
      </c>
      <c r="D14" s="10" t="s">
        <v>609</v>
      </c>
      <c r="H14" s="58">
        <v>0.0</v>
      </c>
    </row>
    <row r="15" ht="13.5" customHeight="1">
      <c r="C15" s="9" t="s">
        <v>610</v>
      </c>
      <c r="D15" s="9" t="s">
        <v>611</v>
      </c>
      <c r="H15" s="58">
        <v>100.0</v>
      </c>
    </row>
    <row r="16" ht="13.5" customHeight="1">
      <c r="C16" s="9" t="s">
        <v>612</v>
      </c>
      <c r="D16" s="9" t="s">
        <v>613</v>
      </c>
      <c r="H16" s="58">
        <v>200.0</v>
      </c>
    </row>
    <row r="17" ht="13.5" customHeight="1">
      <c r="C17" s="9" t="s">
        <v>614</v>
      </c>
      <c r="D17" s="9" t="s">
        <v>615</v>
      </c>
      <c r="H17" s="58">
        <v>300.0</v>
      </c>
    </row>
    <row r="18" ht="13.5" customHeight="1">
      <c r="C18" s="9" t="s">
        <v>616</v>
      </c>
      <c r="D18" s="9" t="s">
        <v>223</v>
      </c>
      <c r="H18" s="58">
        <v>400.0</v>
      </c>
    </row>
    <row r="19" ht="13.5" customHeight="1">
      <c r="C19" s="9" t="s">
        <v>617</v>
      </c>
      <c r="D19" s="9" t="s">
        <v>618</v>
      </c>
      <c r="H19" s="58">
        <v>500.0</v>
      </c>
    </row>
    <row r="20" ht="13.5" customHeight="1">
      <c r="C20" s="9" t="s">
        <v>619</v>
      </c>
      <c r="D20" s="10" t="s">
        <v>620</v>
      </c>
      <c r="H20" s="58">
        <v>600.0</v>
      </c>
    </row>
    <row r="21" ht="13.5" customHeight="1">
      <c r="C21" s="9" t="s">
        <v>621</v>
      </c>
      <c r="D21" s="10" t="s">
        <v>622</v>
      </c>
      <c r="H21" s="58">
        <v>700.0</v>
      </c>
    </row>
    <row r="22" ht="13.5" customHeight="1">
      <c r="C22" s="9" t="s">
        <v>623</v>
      </c>
      <c r="D22" s="9" t="s">
        <v>563</v>
      </c>
      <c r="H22" s="58">
        <v>800.0</v>
      </c>
    </row>
    <row r="23" ht="13.5" customHeight="1">
      <c r="C23" s="9" t="s">
        <v>624</v>
      </c>
      <c r="D23" s="10" t="s">
        <v>625</v>
      </c>
      <c r="H23" s="58">
        <v>900.0</v>
      </c>
    </row>
    <row r="24" ht="13.5" customHeight="1">
      <c r="C24" s="9" t="s">
        <v>626</v>
      </c>
      <c r="D24" s="9" t="s">
        <v>627</v>
      </c>
      <c r="H24" s="58">
        <v>1000.0</v>
      </c>
    </row>
    <row r="25" ht="13.5" customHeight="1">
      <c r="C25" s="9" t="s">
        <v>628</v>
      </c>
      <c r="D25" s="9" t="s">
        <v>629</v>
      </c>
      <c r="H25" s="58">
        <v>1100.0</v>
      </c>
    </row>
    <row r="26" ht="13.5" customHeight="1">
      <c r="C26" s="9" t="s">
        <v>630</v>
      </c>
      <c r="D26" s="10" t="s">
        <v>631</v>
      </c>
      <c r="H26" s="58">
        <v>1200.0</v>
      </c>
    </row>
    <row r="27" ht="13.5" customHeight="1">
      <c r="A27" s="7" t="s">
        <v>632</v>
      </c>
      <c r="B27" s="7" t="s">
        <v>633</v>
      </c>
      <c r="C27" s="9" t="s">
        <v>634</v>
      </c>
      <c r="D27" s="9" t="s">
        <v>559</v>
      </c>
      <c r="H27" s="58">
        <v>0.0</v>
      </c>
      <c r="K27" s="10" t="s">
        <v>635</v>
      </c>
    </row>
    <row r="28" ht="13.5" customHeight="1">
      <c r="C28" s="10" t="s">
        <v>636</v>
      </c>
      <c r="D28" s="9" t="s">
        <v>637</v>
      </c>
      <c r="H28" s="59">
        <v>100.0</v>
      </c>
    </row>
    <row r="29" ht="13.5" customHeight="1">
      <c r="C29" s="10" t="s">
        <v>638</v>
      </c>
      <c r="D29" s="10" t="s">
        <v>639</v>
      </c>
      <c r="H29" s="58">
        <v>200.0</v>
      </c>
    </row>
    <row r="30" ht="13.5" customHeight="1">
      <c r="C30" s="10" t="s">
        <v>640</v>
      </c>
      <c r="D30" s="9" t="s">
        <v>641</v>
      </c>
      <c r="H30" s="59">
        <v>300.0</v>
      </c>
    </row>
    <row r="31" ht="13.5" customHeight="1">
      <c r="C31" s="9" t="s">
        <v>642</v>
      </c>
      <c r="D31" s="10" t="s">
        <v>625</v>
      </c>
      <c r="H31" s="58">
        <v>400.0</v>
      </c>
      <c r="K31" s="10" t="s">
        <v>635</v>
      </c>
    </row>
    <row r="32" ht="13.5" customHeight="1">
      <c r="C32" s="10" t="s">
        <v>643</v>
      </c>
      <c r="D32" s="10" t="s">
        <v>644</v>
      </c>
      <c r="H32" s="59">
        <v>500.0</v>
      </c>
    </row>
    <row r="33" ht="13.5" customHeight="1">
      <c r="C33" s="9" t="s">
        <v>645</v>
      </c>
      <c r="D33" s="9" t="s">
        <v>553</v>
      </c>
      <c r="H33" s="58">
        <v>600.0</v>
      </c>
      <c r="K33" s="10" t="s">
        <v>635</v>
      </c>
    </row>
    <row r="34" ht="13.5" customHeight="1">
      <c r="C34" s="10" t="s">
        <v>646</v>
      </c>
      <c r="D34" s="9" t="s">
        <v>647</v>
      </c>
      <c r="H34" s="59">
        <v>700.0</v>
      </c>
    </row>
    <row r="35" ht="13.5" customHeight="1">
      <c r="C35" s="10" t="s">
        <v>648</v>
      </c>
      <c r="D35" s="9" t="s">
        <v>649</v>
      </c>
      <c r="H35" s="58">
        <v>800.0</v>
      </c>
    </row>
    <row r="36" ht="13.5" customHeight="1">
      <c r="C36" s="10" t="s">
        <v>650</v>
      </c>
      <c r="D36" s="10" t="s">
        <v>651</v>
      </c>
      <c r="H36" s="59">
        <v>900.0</v>
      </c>
    </row>
    <row r="37" ht="13.5" customHeight="1">
      <c r="C37" s="10" t="s">
        <v>652</v>
      </c>
      <c r="D37" s="10" t="s">
        <v>653</v>
      </c>
      <c r="H37" s="58">
        <v>1000.0</v>
      </c>
    </row>
    <row r="38" ht="13.5" customHeight="1">
      <c r="C38" s="9" t="s">
        <v>654</v>
      </c>
      <c r="D38" s="9" t="s">
        <v>655</v>
      </c>
      <c r="H38" s="59">
        <v>1100.0</v>
      </c>
      <c r="K38" s="10" t="s">
        <v>635</v>
      </c>
    </row>
    <row r="39" ht="13.5" customHeight="1">
      <c r="C39" s="10" t="s">
        <v>656</v>
      </c>
      <c r="D39" s="10" t="s">
        <v>657</v>
      </c>
      <c r="H39" s="58">
        <v>1200.0</v>
      </c>
    </row>
    <row r="40" ht="13.5" customHeight="1">
      <c r="C40" s="10" t="s">
        <v>658</v>
      </c>
      <c r="D40" s="9" t="s">
        <v>659</v>
      </c>
      <c r="H40" s="59">
        <v>1300.0</v>
      </c>
    </row>
    <row r="41" ht="13.5" customHeight="1">
      <c r="C41" s="10" t="s">
        <v>660</v>
      </c>
      <c r="D41" s="9" t="s">
        <v>661</v>
      </c>
      <c r="H41" s="58">
        <v>1400.0</v>
      </c>
    </row>
    <row r="42" ht="13.5" customHeight="1">
      <c r="C42" s="9" t="s">
        <v>662</v>
      </c>
      <c r="D42" s="9" t="s">
        <v>101</v>
      </c>
      <c r="H42" s="59">
        <v>1500.0</v>
      </c>
      <c r="K42" s="10" t="s">
        <v>635</v>
      </c>
    </row>
    <row r="43" ht="13.5" customHeight="1">
      <c r="C43" s="10" t="s">
        <v>663</v>
      </c>
      <c r="D43" s="10" t="s">
        <v>664</v>
      </c>
      <c r="H43" s="58">
        <v>1600.0</v>
      </c>
    </row>
    <row r="44" ht="13.5" customHeight="1">
      <c r="C44" s="10" t="s">
        <v>665</v>
      </c>
      <c r="D44" s="10" t="s">
        <v>666</v>
      </c>
      <c r="H44" s="59">
        <v>1700.0</v>
      </c>
    </row>
    <row r="45" ht="13.5" customHeight="1">
      <c r="C45" s="10" t="s">
        <v>667</v>
      </c>
      <c r="D45" s="10" t="s">
        <v>668</v>
      </c>
      <c r="H45" s="58">
        <v>1800.0</v>
      </c>
    </row>
    <row r="46" ht="13.5" customHeight="1">
      <c r="C46" s="10" t="s">
        <v>669</v>
      </c>
      <c r="D46" s="10" t="s">
        <v>670</v>
      </c>
      <c r="H46" s="59">
        <v>1900.0</v>
      </c>
    </row>
    <row r="47" ht="13.5" customHeight="1">
      <c r="C47" s="10" t="s">
        <v>671</v>
      </c>
      <c r="D47" s="10" t="s">
        <v>672</v>
      </c>
      <c r="H47" s="58">
        <v>2000.0</v>
      </c>
    </row>
    <row r="48" ht="13.5" customHeight="1">
      <c r="C48" s="9" t="s">
        <v>673</v>
      </c>
      <c r="D48" s="9" t="s">
        <v>674</v>
      </c>
      <c r="H48" s="59">
        <v>2100.0</v>
      </c>
      <c r="K48" s="10" t="s">
        <v>635</v>
      </c>
    </row>
    <row r="49" ht="13.5" customHeight="1">
      <c r="C49" s="10" t="s">
        <v>675</v>
      </c>
      <c r="D49" s="9" t="s">
        <v>676</v>
      </c>
      <c r="H49" s="58">
        <v>2200.0</v>
      </c>
    </row>
    <row r="50" ht="13.5" customHeight="1">
      <c r="C50" s="10" t="s">
        <v>677</v>
      </c>
      <c r="D50" s="10" t="s">
        <v>678</v>
      </c>
      <c r="H50" s="59">
        <v>2300.0</v>
      </c>
    </row>
    <row r="51" ht="13.5" customHeight="1">
      <c r="C51" s="9" t="s">
        <v>679</v>
      </c>
      <c r="D51" s="10" t="s">
        <v>680</v>
      </c>
      <c r="H51" s="58">
        <v>2400.0</v>
      </c>
      <c r="K51" s="10"/>
    </row>
    <row r="52" ht="13.5" customHeight="1">
      <c r="A52" s="6" t="s">
        <v>681</v>
      </c>
      <c r="B52" s="6" t="s">
        <v>682</v>
      </c>
      <c r="C52" s="9" t="s">
        <v>683</v>
      </c>
      <c r="D52" s="10" t="s">
        <v>684</v>
      </c>
      <c r="H52" s="59">
        <v>0.0</v>
      </c>
    </row>
    <row r="53" ht="13.5" customHeight="1">
      <c r="C53" s="9" t="s">
        <v>685</v>
      </c>
      <c r="D53" s="10" t="s">
        <v>686</v>
      </c>
      <c r="H53" s="58">
        <v>100.0</v>
      </c>
    </row>
    <row r="54" ht="13.5" customHeight="1">
      <c r="C54" s="9" t="s">
        <v>687</v>
      </c>
      <c r="D54" s="9" t="s">
        <v>688</v>
      </c>
      <c r="H54" s="58">
        <v>200.0</v>
      </c>
    </row>
    <row r="55" ht="13.5" customHeight="1">
      <c r="C55" s="9" t="s">
        <v>689</v>
      </c>
      <c r="D55" s="10" t="s">
        <v>690</v>
      </c>
      <c r="H55" s="58">
        <v>300.0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129.0"/>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691</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692</v>
      </c>
      <c r="B4" s="6" t="s">
        <v>693</v>
      </c>
      <c r="C4" s="9" t="s">
        <v>694</v>
      </c>
      <c r="D4" s="9" t="s">
        <v>695</v>
      </c>
      <c r="H4" s="9" t="s">
        <v>128</v>
      </c>
    </row>
    <row r="5" ht="13.5" customHeight="1">
      <c r="C5" s="9" t="s">
        <v>696</v>
      </c>
      <c r="D5" s="9" t="s">
        <v>559</v>
      </c>
      <c r="H5" s="9" t="s">
        <v>66</v>
      </c>
    </row>
    <row r="6" ht="13.5" customHeight="1">
      <c r="C6" s="9" t="s">
        <v>697</v>
      </c>
      <c r="D6" s="10" t="s">
        <v>625</v>
      </c>
      <c r="H6" s="9" t="s">
        <v>69</v>
      </c>
    </row>
    <row r="7" ht="13.5" customHeight="1">
      <c r="C7" s="9" t="s">
        <v>698</v>
      </c>
      <c r="D7" s="9" t="s">
        <v>553</v>
      </c>
      <c r="H7" s="9" t="s">
        <v>72</v>
      </c>
    </row>
    <row r="8" ht="13.5" customHeight="1">
      <c r="C8" s="9" t="s">
        <v>699</v>
      </c>
      <c r="D8" s="9" t="s">
        <v>561</v>
      </c>
      <c r="H8" s="9" t="s">
        <v>75</v>
      </c>
    </row>
    <row r="9" ht="13.5" customHeight="1">
      <c r="C9" s="9" t="s">
        <v>700</v>
      </c>
      <c r="D9" s="9" t="s">
        <v>101</v>
      </c>
      <c r="H9" s="9" t="s">
        <v>78</v>
      </c>
    </row>
    <row r="10" ht="13.5" customHeight="1">
      <c r="C10" s="9" t="s">
        <v>701</v>
      </c>
      <c r="D10" s="10" t="s">
        <v>702</v>
      </c>
      <c r="H10" s="9" t="s">
        <v>81</v>
      </c>
    </row>
    <row r="11" ht="13.5" customHeight="1">
      <c r="A11" s="6" t="s">
        <v>703</v>
      </c>
      <c r="B11" s="6" t="s">
        <v>704</v>
      </c>
      <c r="C11" s="9" t="s">
        <v>705</v>
      </c>
      <c r="D11" s="9" t="s">
        <v>637</v>
      </c>
      <c r="F11" s="9" t="s">
        <v>696</v>
      </c>
      <c r="H11" s="9" t="s">
        <v>128</v>
      </c>
    </row>
    <row r="12" ht="13.5" customHeight="1">
      <c r="C12" s="9" t="s">
        <v>706</v>
      </c>
      <c r="D12" s="10" t="s">
        <v>639</v>
      </c>
      <c r="F12" s="9" t="s">
        <v>696</v>
      </c>
      <c r="H12" s="9" t="s">
        <v>66</v>
      </c>
    </row>
    <row r="13" ht="13.5" customHeight="1">
      <c r="C13" s="9" t="s">
        <v>707</v>
      </c>
      <c r="D13" s="9" t="s">
        <v>708</v>
      </c>
      <c r="F13" s="9" t="s">
        <v>696</v>
      </c>
      <c r="H13" s="9" t="s">
        <v>69</v>
      </c>
    </row>
    <row r="14" ht="13.5" customHeight="1">
      <c r="C14" s="9" t="s">
        <v>709</v>
      </c>
      <c r="D14" s="9" t="s">
        <v>710</v>
      </c>
      <c r="F14" s="9" t="s">
        <v>698</v>
      </c>
      <c r="H14" s="9" t="s">
        <v>72</v>
      </c>
    </row>
    <row r="15" ht="13.5" customHeight="1">
      <c r="C15" s="9" t="s">
        <v>711</v>
      </c>
      <c r="D15" s="9" t="s">
        <v>712</v>
      </c>
      <c r="F15" s="9" t="s">
        <v>698</v>
      </c>
      <c r="H15" s="9" t="s">
        <v>75</v>
      </c>
    </row>
    <row r="16" ht="13.5" customHeight="1">
      <c r="C16" s="9" t="s">
        <v>713</v>
      </c>
      <c r="D16" s="10" t="s">
        <v>714</v>
      </c>
      <c r="F16" s="9" t="s">
        <v>698</v>
      </c>
      <c r="H16" s="9" t="s">
        <v>78</v>
      </c>
    </row>
    <row r="17" ht="13.5" customHeight="1">
      <c r="C17" s="9" t="s">
        <v>715</v>
      </c>
      <c r="D17" s="10" t="s">
        <v>716</v>
      </c>
      <c r="F17" s="9" t="s">
        <v>698</v>
      </c>
      <c r="H17" s="9" t="s">
        <v>81</v>
      </c>
    </row>
    <row r="18" ht="13.5" customHeight="1">
      <c r="C18" s="9" t="s">
        <v>717</v>
      </c>
      <c r="D18" s="10" t="s">
        <v>718</v>
      </c>
      <c r="F18" s="9" t="s">
        <v>699</v>
      </c>
      <c r="H18" s="9" t="s">
        <v>84</v>
      </c>
    </row>
    <row r="19" ht="13.5" customHeight="1">
      <c r="C19" s="9" t="s">
        <v>719</v>
      </c>
      <c r="D19" s="9" t="s">
        <v>720</v>
      </c>
      <c r="F19" s="9" t="s">
        <v>699</v>
      </c>
      <c r="H19" s="9" t="s">
        <v>87</v>
      </c>
    </row>
    <row r="20" ht="13.5" customHeight="1">
      <c r="C20" s="9" t="s">
        <v>721</v>
      </c>
      <c r="D20" s="9" t="s">
        <v>661</v>
      </c>
      <c r="F20" s="9" t="s">
        <v>699</v>
      </c>
      <c r="H20" s="9" t="s">
        <v>90</v>
      </c>
    </row>
    <row r="21" ht="13.5" customHeight="1">
      <c r="C21" s="9" t="s">
        <v>722</v>
      </c>
      <c r="D21" s="10" t="s">
        <v>723</v>
      </c>
      <c r="F21" s="9" t="s">
        <v>700</v>
      </c>
      <c r="H21" s="9" t="s">
        <v>93</v>
      </c>
    </row>
    <row r="22" ht="13.5" customHeight="1">
      <c r="C22" s="9" t="s">
        <v>724</v>
      </c>
      <c r="D22" s="10" t="s">
        <v>725</v>
      </c>
      <c r="F22" s="9" t="s">
        <v>700</v>
      </c>
      <c r="H22" s="9" t="s">
        <v>96</v>
      </c>
    </row>
    <row r="23" ht="13.5" customHeight="1">
      <c r="C23" s="9" t="s">
        <v>726</v>
      </c>
      <c r="D23" s="10" t="s">
        <v>727</v>
      </c>
      <c r="F23" s="9" t="s">
        <v>700</v>
      </c>
      <c r="H23" s="9" t="s">
        <v>99</v>
      </c>
    </row>
    <row r="24" ht="13.5" customHeight="1">
      <c r="C24" s="9" t="s">
        <v>728</v>
      </c>
      <c r="D24" s="10" t="s">
        <v>729</v>
      </c>
      <c r="F24" s="9" t="s">
        <v>700</v>
      </c>
      <c r="H24" s="9" t="s">
        <v>102</v>
      </c>
    </row>
    <row r="25" ht="13.5" customHeight="1">
      <c r="A25" s="6" t="s">
        <v>730</v>
      </c>
      <c r="B25" s="6" t="s">
        <v>731</v>
      </c>
      <c r="C25" s="9" t="s">
        <v>732</v>
      </c>
      <c r="D25" s="10" t="s">
        <v>733</v>
      </c>
      <c r="H25" s="9" t="s">
        <v>128</v>
      </c>
    </row>
    <row r="26" ht="13.5" customHeight="1">
      <c r="C26" s="9" t="s">
        <v>734</v>
      </c>
      <c r="D26" s="10" t="s">
        <v>735</v>
      </c>
      <c r="H26" s="9" t="s">
        <v>66</v>
      </c>
    </row>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A1:K1"/>
    <mergeCell ref="A4:A10"/>
    <mergeCell ref="B4:B10"/>
    <mergeCell ref="A11:A24"/>
    <mergeCell ref="B11: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736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737</v>
      </c>
      <c r="B4" s="6" t="s">
        <v>44</v>
      </c>
      <c r="C4" s="9" t="s">
        <v>738</v>
      </c>
      <c r="D4" s="10" t="s">
        <v>739</v>
      </c>
      <c r="H4" s="9" t="s">
        <v>128</v>
      </c>
    </row>
    <row r="5" ht="13.5" customHeight="1">
      <c r="C5" s="9" t="s">
        <v>740</v>
      </c>
      <c r="D5" s="10" t="s">
        <v>741</v>
      </c>
      <c r="H5" s="9" t="s">
        <v>66</v>
      </c>
    </row>
    <row r="6" ht="13.5" customHeight="1">
      <c r="C6" s="9" t="s">
        <v>742</v>
      </c>
      <c r="D6" s="10" t="s">
        <v>743</v>
      </c>
      <c r="H6" s="9" t="s">
        <v>69</v>
      </c>
    </row>
    <row r="7" ht="13.5" customHeight="1">
      <c r="C7" s="9" t="s">
        <v>744</v>
      </c>
      <c r="D7" s="9" t="s">
        <v>745</v>
      </c>
      <c r="H7" s="9" t="s">
        <v>72</v>
      </c>
    </row>
    <row r="8" ht="13.5" customHeight="1">
      <c r="C8" s="9" t="s">
        <v>746</v>
      </c>
      <c r="D8" s="10" t="s">
        <v>747</v>
      </c>
      <c r="H8" s="9" t="s">
        <v>75</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3.71"/>
    <col customWidth="1" min="7" max="7" width="8.43"/>
    <col customWidth="1" min="8" max="8" width="5.0"/>
    <col customWidth="1" min="9" max="9" width="7.43"/>
    <col customWidth="1" min="10" max="10" width="62.43"/>
    <col customWidth="1" min="11" max="11" width="17.0"/>
    <col customWidth="1" min="12" max="27" width="8.86"/>
  </cols>
  <sheetData>
    <row r="1" ht="13.5" customHeight="1">
      <c r="A1" s="56" t="s">
        <v>748</v>
      </c>
      <c r="B1" s="2"/>
      <c r="C1" s="2"/>
      <c r="D1" s="2"/>
      <c r="E1" s="2"/>
      <c r="F1" s="2"/>
      <c r="G1" s="2"/>
      <c r="H1" s="2"/>
      <c r="I1" s="2"/>
      <c r="J1" s="2"/>
      <c r="K1" s="3"/>
    </row>
    <row r="2" ht="13.5" customHeight="1"/>
    <row r="3" ht="13.5" customHeight="1">
      <c r="A3" s="4" t="s">
        <v>50</v>
      </c>
      <c r="B3" s="5" t="s">
        <v>4</v>
      </c>
      <c r="C3" s="4" t="s">
        <v>51</v>
      </c>
      <c r="D3" s="5" t="s">
        <v>52</v>
      </c>
      <c r="E3" s="60" t="s">
        <v>53</v>
      </c>
      <c r="F3" s="4" t="s">
        <v>54</v>
      </c>
      <c r="G3" s="4" t="s">
        <v>55</v>
      </c>
      <c r="H3" s="4" t="s">
        <v>56</v>
      </c>
      <c r="I3" s="4" t="s">
        <v>57</v>
      </c>
      <c r="J3" s="4" t="s">
        <v>58</v>
      </c>
      <c r="K3" s="4" t="s">
        <v>59</v>
      </c>
    </row>
    <row r="4" ht="13.5" customHeight="1">
      <c r="A4" s="6" t="s">
        <v>749</v>
      </c>
      <c r="B4" s="7" t="s">
        <v>750</v>
      </c>
      <c r="C4" s="9" t="s">
        <v>751</v>
      </c>
      <c r="D4" s="10" t="s">
        <v>752</v>
      </c>
      <c r="E4" s="10"/>
      <c r="H4" s="9" t="s">
        <v>128</v>
      </c>
      <c r="K4" s="10" t="s">
        <v>635</v>
      </c>
    </row>
    <row r="5" ht="13.5" customHeight="1">
      <c r="C5" s="9" t="s">
        <v>753</v>
      </c>
      <c r="D5" s="9" t="s">
        <v>754</v>
      </c>
      <c r="H5" s="9">
        <f t="shared" ref="H5:H76" si="1">H4+100</f>
        <v>100</v>
      </c>
    </row>
    <row r="6" ht="13.5" customHeight="1">
      <c r="C6" s="9" t="s">
        <v>755</v>
      </c>
      <c r="D6" s="9" t="s">
        <v>756</v>
      </c>
      <c r="H6" s="9">
        <f t="shared" si="1"/>
        <v>200</v>
      </c>
    </row>
    <row r="7" ht="13.5" customHeight="1">
      <c r="C7" s="9" t="s">
        <v>757</v>
      </c>
      <c r="D7" s="9" t="s">
        <v>758</v>
      </c>
      <c r="H7" s="9">
        <f t="shared" si="1"/>
        <v>300</v>
      </c>
    </row>
    <row r="8" ht="13.5" customHeight="1">
      <c r="C8" s="9" t="s">
        <v>759</v>
      </c>
      <c r="D8" s="9" t="s">
        <v>760</v>
      </c>
      <c r="H8" s="9">
        <f t="shared" si="1"/>
        <v>400</v>
      </c>
    </row>
    <row r="9" ht="13.5" customHeight="1">
      <c r="C9" s="9" t="s">
        <v>761</v>
      </c>
      <c r="D9" s="9" t="s">
        <v>762</v>
      </c>
      <c r="H9" s="9">
        <f t="shared" si="1"/>
        <v>500</v>
      </c>
    </row>
    <row r="10" ht="13.5" customHeight="1">
      <c r="C10" s="9" t="s">
        <v>763</v>
      </c>
      <c r="D10" s="9" t="s">
        <v>764</v>
      </c>
      <c r="H10" s="9">
        <f t="shared" si="1"/>
        <v>600</v>
      </c>
    </row>
    <row r="11" ht="13.5" customHeight="1">
      <c r="C11" s="9" t="s">
        <v>765</v>
      </c>
      <c r="D11" s="9" t="s">
        <v>766</v>
      </c>
      <c r="H11" s="9">
        <f t="shared" si="1"/>
        <v>700</v>
      </c>
    </row>
    <row r="12" ht="13.5" customHeight="1">
      <c r="C12" s="9" t="s">
        <v>767</v>
      </c>
      <c r="D12" s="9" t="s">
        <v>768</v>
      </c>
      <c r="H12" s="9">
        <f t="shared" si="1"/>
        <v>800</v>
      </c>
    </row>
    <row r="13" ht="13.5" customHeight="1">
      <c r="C13" s="9" t="s">
        <v>769</v>
      </c>
      <c r="D13" s="9" t="s">
        <v>770</v>
      </c>
      <c r="H13" s="9">
        <f t="shared" si="1"/>
        <v>900</v>
      </c>
    </row>
    <row r="14" ht="13.5" customHeight="1">
      <c r="C14" s="9" t="s">
        <v>771</v>
      </c>
      <c r="D14" s="10" t="s">
        <v>772</v>
      </c>
      <c r="H14" s="9">
        <f t="shared" si="1"/>
        <v>1000</v>
      </c>
    </row>
    <row r="15" ht="13.5" customHeight="1">
      <c r="C15" s="9" t="s">
        <v>773</v>
      </c>
      <c r="D15" s="10" t="s">
        <v>774</v>
      </c>
      <c r="H15" s="9">
        <f t="shared" si="1"/>
        <v>1100</v>
      </c>
    </row>
    <row r="16" ht="13.5" customHeight="1">
      <c r="C16" s="10" t="s">
        <v>775</v>
      </c>
      <c r="D16" s="10" t="s">
        <v>776</v>
      </c>
      <c r="E16" s="10"/>
      <c r="H16" s="9">
        <f t="shared" si="1"/>
        <v>1200</v>
      </c>
      <c r="K16" s="10"/>
    </row>
    <row r="17" ht="13.5" customHeight="1">
      <c r="C17" s="10" t="s">
        <v>777</v>
      </c>
      <c r="D17" s="10" t="s">
        <v>778</v>
      </c>
      <c r="E17" s="10"/>
      <c r="H17" s="9">
        <f t="shared" si="1"/>
        <v>1300</v>
      </c>
      <c r="K17" s="10"/>
    </row>
    <row r="18" ht="13.5" customHeight="1">
      <c r="C18" s="10" t="s">
        <v>779</v>
      </c>
      <c r="D18" s="10" t="s">
        <v>780</v>
      </c>
      <c r="E18" s="10"/>
      <c r="H18" s="9">
        <f t="shared" si="1"/>
        <v>1400</v>
      </c>
      <c r="K18" s="10" t="s">
        <v>635</v>
      </c>
    </row>
    <row r="19" ht="13.5" customHeight="1">
      <c r="C19" s="10" t="s">
        <v>781</v>
      </c>
      <c r="D19" s="10" t="s">
        <v>782</v>
      </c>
      <c r="E19" s="10"/>
      <c r="H19" s="9">
        <f t="shared" si="1"/>
        <v>1500</v>
      </c>
    </row>
    <row r="20" ht="13.5" customHeight="1">
      <c r="C20" s="10" t="s">
        <v>783</v>
      </c>
      <c r="D20" s="10" t="s">
        <v>784</v>
      </c>
      <c r="E20" s="10"/>
      <c r="H20" s="9">
        <f t="shared" si="1"/>
        <v>1600</v>
      </c>
    </row>
    <row r="21" ht="13.5" customHeight="1">
      <c r="C21" s="10" t="s">
        <v>785</v>
      </c>
      <c r="D21" s="10" t="s">
        <v>786</v>
      </c>
      <c r="E21" s="10"/>
      <c r="H21" s="9">
        <f t="shared" si="1"/>
        <v>1700</v>
      </c>
    </row>
    <row r="22" ht="13.5" customHeight="1">
      <c r="C22" s="10" t="s">
        <v>787</v>
      </c>
      <c r="D22" s="10" t="s">
        <v>788</v>
      </c>
      <c r="E22" s="10"/>
      <c r="H22" s="9">
        <f t="shared" si="1"/>
        <v>1800</v>
      </c>
    </row>
    <row r="23" ht="13.5" customHeight="1">
      <c r="C23" s="10" t="s">
        <v>789</v>
      </c>
      <c r="D23" s="10" t="s">
        <v>790</v>
      </c>
      <c r="E23" s="10"/>
      <c r="H23" s="9">
        <f t="shared" si="1"/>
        <v>1900</v>
      </c>
    </row>
    <row r="24" ht="13.5" customHeight="1">
      <c r="C24" s="10" t="s">
        <v>791</v>
      </c>
      <c r="D24" s="10" t="s">
        <v>792</v>
      </c>
      <c r="E24" s="10"/>
      <c r="H24" s="9">
        <f t="shared" si="1"/>
        <v>2000</v>
      </c>
    </row>
    <row r="25" ht="13.5" customHeight="1">
      <c r="C25" s="10" t="s">
        <v>793</v>
      </c>
      <c r="D25" s="10" t="s">
        <v>794</v>
      </c>
      <c r="E25" s="10"/>
      <c r="H25" s="9">
        <f t="shared" si="1"/>
        <v>2100</v>
      </c>
    </row>
    <row r="26" ht="13.5" customHeight="1">
      <c r="C26" s="10" t="s">
        <v>795</v>
      </c>
      <c r="D26" s="10" t="s">
        <v>796</v>
      </c>
      <c r="E26" s="10"/>
      <c r="H26" s="9">
        <f t="shared" si="1"/>
        <v>2200</v>
      </c>
    </row>
    <row r="27" ht="13.5" customHeight="1">
      <c r="C27" s="10" t="s">
        <v>797</v>
      </c>
      <c r="D27" s="10" t="s">
        <v>798</v>
      </c>
      <c r="E27" s="10"/>
      <c r="H27" s="9">
        <f t="shared" si="1"/>
        <v>2300</v>
      </c>
    </row>
    <row r="28" ht="13.5" customHeight="1">
      <c r="C28" s="10" t="s">
        <v>799</v>
      </c>
      <c r="D28" s="10" t="s">
        <v>800</v>
      </c>
      <c r="E28" s="10"/>
      <c r="H28" s="9">
        <f t="shared" si="1"/>
        <v>2400</v>
      </c>
    </row>
    <row r="29" ht="13.5" customHeight="1">
      <c r="C29" s="10" t="s">
        <v>801</v>
      </c>
      <c r="D29" s="10" t="s">
        <v>802</v>
      </c>
      <c r="E29" s="10"/>
      <c r="H29" s="9">
        <f t="shared" si="1"/>
        <v>2500</v>
      </c>
    </row>
    <row r="30" ht="13.5" customHeight="1">
      <c r="C30" s="10" t="s">
        <v>803</v>
      </c>
      <c r="D30" s="10" t="s">
        <v>804</v>
      </c>
      <c r="E30" s="10"/>
      <c r="H30" s="9">
        <f t="shared" si="1"/>
        <v>2600</v>
      </c>
    </row>
    <row r="31" ht="13.5" customHeight="1">
      <c r="C31" s="10" t="s">
        <v>805</v>
      </c>
      <c r="D31" s="10" t="s">
        <v>806</v>
      </c>
      <c r="E31" s="10"/>
      <c r="H31" s="9">
        <f t="shared" si="1"/>
        <v>2700</v>
      </c>
    </row>
    <row r="32" ht="13.5" customHeight="1">
      <c r="C32" s="10" t="s">
        <v>807</v>
      </c>
      <c r="D32" s="10" t="s">
        <v>808</v>
      </c>
      <c r="E32" s="10"/>
      <c r="H32" s="9">
        <f t="shared" si="1"/>
        <v>2800</v>
      </c>
      <c r="J32" s="10" t="s">
        <v>809</v>
      </c>
    </row>
    <row r="33" ht="13.5" customHeight="1">
      <c r="C33" s="9" t="s">
        <v>810</v>
      </c>
      <c r="D33" s="10" t="s">
        <v>811</v>
      </c>
      <c r="E33" s="10"/>
      <c r="H33" s="9">
        <f t="shared" si="1"/>
        <v>2900</v>
      </c>
      <c r="K33" s="10" t="s">
        <v>635</v>
      </c>
    </row>
    <row r="34" ht="13.5" customHeight="1">
      <c r="C34" s="10" t="s">
        <v>812</v>
      </c>
      <c r="D34" s="10" t="s">
        <v>813</v>
      </c>
      <c r="E34" s="10"/>
      <c r="H34" s="9">
        <f t="shared" si="1"/>
        <v>3000</v>
      </c>
    </row>
    <row r="35" ht="13.5" customHeight="1">
      <c r="C35" s="10" t="s">
        <v>814</v>
      </c>
      <c r="D35" s="10" t="s">
        <v>815</v>
      </c>
      <c r="E35" s="10"/>
      <c r="H35" s="9">
        <f t="shared" si="1"/>
        <v>3100</v>
      </c>
    </row>
    <row r="36" ht="13.5" customHeight="1">
      <c r="C36" s="10" t="s">
        <v>816</v>
      </c>
      <c r="D36" s="10" t="s">
        <v>817</v>
      </c>
      <c r="E36" s="10"/>
      <c r="H36" s="9">
        <f t="shared" si="1"/>
        <v>3200</v>
      </c>
      <c r="K36" s="61"/>
    </row>
    <row r="37" ht="13.5" customHeight="1">
      <c r="C37" s="10" t="s">
        <v>818</v>
      </c>
      <c r="D37" s="10" t="s">
        <v>819</v>
      </c>
      <c r="E37" s="10"/>
      <c r="H37" s="9">
        <f t="shared" si="1"/>
        <v>3300</v>
      </c>
      <c r="K37" s="61"/>
    </row>
    <row r="38" ht="13.5" customHeight="1">
      <c r="C38" s="10" t="s">
        <v>820</v>
      </c>
      <c r="D38" s="10" t="s">
        <v>821</v>
      </c>
      <c r="E38" s="10"/>
      <c r="H38" s="9">
        <f t="shared" si="1"/>
        <v>3400</v>
      </c>
      <c r="K38" s="61"/>
    </row>
    <row r="39" ht="13.5" customHeight="1">
      <c r="C39" s="10" t="s">
        <v>822</v>
      </c>
      <c r="D39" s="10" t="s">
        <v>823</v>
      </c>
      <c r="E39" s="10"/>
      <c r="H39" s="9">
        <f t="shared" si="1"/>
        <v>3500</v>
      </c>
      <c r="K39" s="61"/>
    </row>
    <row r="40" ht="13.5" customHeight="1">
      <c r="C40" s="9" t="s">
        <v>824</v>
      </c>
      <c r="D40" s="10" t="s">
        <v>825</v>
      </c>
      <c r="E40" s="10"/>
      <c r="H40" s="9">
        <f t="shared" si="1"/>
        <v>3600</v>
      </c>
      <c r="K40" s="10" t="s">
        <v>635</v>
      </c>
    </row>
    <row r="41" ht="13.5" customHeight="1">
      <c r="C41" s="9" t="s">
        <v>826</v>
      </c>
      <c r="D41" s="9" t="s">
        <v>827</v>
      </c>
      <c r="H41" s="9">
        <f t="shared" si="1"/>
        <v>3700</v>
      </c>
    </row>
    <row r="42" ht="13.5" customHeight="1">
      <c r="C42" s="9" t="s">
        <v>828</v>
      </c>
      <c r="D42" s="10" t="s">
        <v>792</v>
      </c>
      <c r="H42" s="9">
        <f t="shared" si="1"/>
        <v>3800</v>
      </c>
    </row>
    <row r="43" ht="13.5" customHeight="1">
      <c r="C43" s="9" t="s">
        <v>829</v>
      </c>
      <c r="D43" s="9" t="s">
        <v>830</v>
      </c>
      <c r="H43" s="9">
        <f t="shared" si="1"/>
        <v>3900</v>
      </c>
    </row>
    <row r="44" ht="13.5" customHeight="1">
      <c r="C44" s="9" t="s">
        <v>831</v>
      </c>
      <c r="D44" s="10" t="s">
        <v>832</v>
      </c>
      <c r="E44" s="10"/>
      <c r="H44" s="9">
        <f t="shared" si="1"/>
        <v>4000</v>
      </c>
      <c r="K44" s="10" t="s">
        <v>635</v>
      </c>
    </row>
    <row r="45" ht="13.5" customHeight="1">
      <c r="C45" s="9" t="s">
        <v>833</v>
      </c>
      <c r="D45" s="9" t="s">
        <v>834</v>
      </c>
      <c r="H45" s="9">
        <f t="shared" si="1"/>
        <v>4100</v>
      </c>
    </row>
    <row r="46" ht="13.5" customHeight="1">
      <c r="C46" s="9" t="s">
        <v>835</v>
      </c>
      <c r="D46" s="9" t="s">
        <v>836</v>
      </c>
      <c r="H46" s="9">
        <f t="shared" si="1"/>
        <v>4200</v>
      </c>
    </row>
    <row r="47" ht="13.5" customHeight="1">
      <c r="C47" s="10" t="s">
        <v>837</v>
      </c>
      <c r="D47" s="10" t="s">
        <v>838</v>
      </c>
      <c r="E47" s="10"/>
      <c r="H47" s="9">
        <f t="shared" si="1"/>
        <v>4300</v>
      </c>
      <c r="K47" s="61"/>
    </row>
    <row r="48" ht="13.5" customHeight="1">
      <c r="C48" s="10" t="s">
        <v>839</v>
      </c>
      <c r="D48" s="10" t="s">
        <v>840</v>
      </c>
      <c r="E48" s="10"/>
      <c r="H48" s="9">
        <f t="shared" si="1"/>
        <v>4400</v>
      </c>
      <c r="K48" s="61"/>
    </row>
    <row r="49" ht="13.5" customHeight="1">
      <c r="C49" s="10" t="s">
        <v>841</v>
      </c>
      <c r="D49" s="10" t="s">
        <v>842</v>
      </c>
      <c r="E49" s="10"/>
      <c r="H49" s="9">
        <f t="shared" si="1"/>
        <v>4500</v>
      </c>
      <c r="K49" s="61"/>
    </row>
    <row r="50" ht="13.5" customHeight="1">
      <c r="C50" s="9" t="s">
        <v>843</v>
      </c>
      <c r="D50" s="10" t="s">
        <v>844</v>
      </c>
      <c r="E50" s="10"/>
      <c r="H50" s="9">
        <f t="shared" si="1"/>
        <v>4600</v>
      </c>
      <c r="K50" s="10" t="s">
        <v>635</v>
      </c>
    </row>
    <row r="51" ht="13.5" customHeight="1">
      <c r="C51" s="9" t="s">
        <v>845</v>
      </c>
      <c r="D51" s="10" t="s">
        <v>846</v>
      </c>
      <c r="H51" s="9">
        <f t="shared" si="1"/>
        <v>4700</v>
      </c>
    </row>
    <row r="52" ht="13.5" customHeight="1">
      <c r="C52" s="9" t="s">
        <v>847</v>
      </c>
      <c r="D52" s="9" t="s">
        <v>848</v>
      </c>
      <c r="H52" s="9">
        <f t="shared" si="1"/>
        <v>4800</v>
      </c>
    </row>
    <row r="53" ht="13.5" customHeight="1">
      <c r="C53" s="9" t="s">
        <v>849</v>
      </c>
      <c r="D53" s="10" t="s">
        <v>850</v>
      </c>
      <c r="H53" s="9">
        <f t="shared" si="1"/>
        <v>4900</v>
      </c>
    </row>
    <row r="54" ht="13.5" customHeight="1">
      <c r="C54" s="9" t="s">
        <v>851</v>
      </c>
      <c r="D54" s="10" t="s">
        <v>852</v>
      </c>
      <c r="H54" s="9">
        <f t="shared" si="1"/>
        <v>5000</v>
      </c>
    </row>
    <row r="55" ht="13.5" customHeight="1">
      <c r="C55" s="9" t="s">
        <v>853</v>
      </c>
      <c r="D55" s="10" t="s">
        <v>854</v>
      </c>
      <c r="H55" s="9">
        <f t="shared" si="1"/>
        <v>5100</v>
      </c>
    </row>
    <row r="56" ht="13.5" customHeight="1">
      <c r="C56" s="9" t="s">
        <v>855</v>
      </c>
      <c r="D56" s="10" t="s">
        <v>856</v>
      </c>
      <c r="H56" s="9">
        <f t="shared" si="1"/>
        <v>5200</v>
      </c>
    </row>
    <row r="57" ht="13.5" customHeight="1">
      <c r="C57" s="9" t="s">
        <v>857</v>
      </c>
      <c r="D57" s="10" t="s">
        <v>858</v>
      </c>
      <c r="H57" s="9">
        <f t="shared" si="1"/>
        <v>5300</v>
      </c>
    </row>
    <row r="58" ht="13.5" customHeight="1">
      <c r="C58" s="9" t="s">
        <v>859</v>
      </c>
      <c r="D58" s="9" t="s">
        <v>860</v>
      </c>
      <c r="H58" s="9">
        <f t="shared" si="1"/>
        <v>5400</v>
      </c>
    </row>
    <row r="59" ht="13.5" customHeight="1">
      <c r="C59" s="9" t="s">
        <v>861</v>
      </c>
      <c r="D59" s="10" t="s">
        <v>862</v>
      </c>
      <c r="H59" s="9">
        <f t="shared" si="1"/>
        <v>5500</v>
      </c>
    </row>
    <row r="60" ht="13.5" customHeight="1">
      <c r="C60" s="9" t="s">
        <v>863</v>
      </c>
      <c r="D60" s="10" t="s">
        <v>864</v>
      </c>
      <c r="H60" s="9">
        <f t="shared" si="1"/>
        <v>5600</v>
      </c>
    </row>
    <row r="61" ht="13.5" customHeight="1">
      <c r="C61" s="10" t="s">
        <v>865</v>
      </c>
      <c r="D61" s="10" t="s">
        <v>866</v>
      </c>
      <c r="E61" s="10"/>
      <c r="H61" s="9">
        <f t="shared" si="1"/>
        <v>5700</v>
      </c>
      <c r="K61" s="10" t="s">
        <v>635</v>
      </c>
    </row>
    <row r="62" ht="13.5" customHeight="1">
      <c r="C62" s="10" t="s">
        <v>867</v>
      </c>
      <c r="D62" s="10" t="s">
        <v>868</v>
      </c>
      <c r="H62" s="9">
        <f t="shared" si="1"/>
        <v>5800</v>
      </c>
    </row>
    <row r="63" ht="13.5" customHeight="1">
      <c r="C63" s="10" t="s">
        <v>869</v>
      </c>
      <c r="D63" s="10" t="s">
        <v>870</v>
      </c>
      <c r="H63" s="9">
        <f t="shared" si="1"/>
        <v>5900</v>
      </c>
    </row>
    <row r="64" ht="13.5" customHeight="1">
      <c r="C64" s="10" t="s">
        <v>871</v>
      </c>
      <c r="D64" s="10" t="s">
        <v>872</v>
      </c>
      <c r="H64" s="9">
        <f t="shared" si="1"/>
        <v>6000</v>
      </c>
    </row>
    <row r="65" ht="13.5" customHeight="1">
      <c r="C65" s="10" t="s">
        <v>873</v>
      </c>
      <c r="D65" s="10" t="s">
        <v>874</v>
      </c>
      <c r="H65" s="9">
        <f t="shared" si="1"/>
        <v>6100</v>
      </c>
    </row>
    <row r="66" ht="13.5" customHeight="1">
      <c r="C66" s="10" t="s">
        <v>875</v>
      </c>
      <c r="D66" s="9" t="s">
        <v>876</v>
      </c>
      <c r="H66" s="9">
        <f t="shared" si="1"/>
        <v>6200</v>
      </c>
    </row>
    <row r="67" ht="13.5" customHeight="1">
      <c r="C67" s="10" t="s">
        <v>877</v>
      </c>
      <c r="D67" s="10" t="s">
        <v>878</v>
      </c>
      <c r="H67" s="9">
        <f t="shared" si="1"/>
        <v>6300</v>
      </c>
    </row>
    <row r="68" ht="13.5" customHeight="1">
      <c r="C68" s="10" t="s">
        <v>879</v>
      </c>
      <c r="D68" s="9" t="s">
        <v>880</v>
      </c>
      <c r="H68" s="9">
        <f t="shared" si="1"/>
        <v>6400</v>
      </c>
    </row>
    <row r="69" ht="13.5" customHeight="1">
      <c r="C69" s="10" t="s">
        <v>881</v>
      </c>
      <c r="D69" s="10" t="s">
        <v>882</v>
      </c>
      <c r="H69" s="9">
        <f t="shared" si="1"/>
        <v>6500</v>
      </c>
    </row>
    <row r="70" ht="13.5" customHeight="1">
      <c r="C70" s="10" t="s">
        <v>883</v>
      </c>
      <c r="D70" s="10" t="s">
        <v>884</v>
      </c>
      <c r="H70" s="9">
        <f t="shared" si="1"/>
        <v>6600</v>
      </c>
    </row>
    <row r="71" ht="13.5" customHeight="1">
      <c r="C71" s="10" t="s">
        <v>885</v>
      </c>
      <c r="D71" s="10" t="s">
        <v>886</v>
      </c>
      <c r="H71" s="9">
        <f t="shared" si="1"/>
        <v>6700</v>
      </c>
    </row>
    <row r="72" ht="13.5" customHeight="1">
      <c r="C72" s="10" t="s">
        <v>887</v>
      </c>
      <c r="D72" s="10" t="s">
        <v>888</v>
      </c>
      <c r="E72" s="10"/>
      <c r="H72" s="9">
        <f t="shared" si="1"/>
        <v>6800</v>
      </c>
      <c r="K72" s="10" t="s">
        <v>635</v>
      </c>
    </row>
    <row r="73" ht="13.5" customHeight="1">
      <c r="C73" s="10" t="s">
        <v>889</v>
      </c>
      <c r="D73" s="10" t="s">
        <v>890</v>
      </c>
      <c r="E73" s="10"/>
      <c r="H73" s="9">
        <f t="shared" si="1"/>
        <v>6900</v>
      </c>
    </row>
    <row r="74" ht="13.5" customHeight="1">
      <c r="C74" s="10" t="s">
        <v>891</v>
      </c>
      <c r="D74" s="10" t="s">
        <v>892</v>
      </c>
      <c r="E74" s="10"/>
      <c r="H74" s="9">
        <f t="shared" si="1"/>
        <v>7000</v>
      </c>
    </row>
    <row r="75" ht="13.5" customHeight="1">
      <c r="C75" s="10" t="s">
        <v>893</v>
      </c>
      <c r="D75" s="10" t="s">
        <v>894</v>
      </c>
      <c r="E75" s="10"/>
      <c r="H75" s="9">
        <f t="shared" si="1"/>
        <v>7100</v>
      </c>
    </row>
    <row r="76" ht="13.5" customHeight="1">
      <c r="C76" s="9" t="s">
        <v>895</v>
      </c>
      <c r="D76" s="10" t="s">
        <v>896</v>
      </c>
      <c r="H76" s="9">
        <f t="shared" si="1"/>
        <v>7200</v>
      </c>
    </row>
    <row r="77" ht="13.5" customHeight="1">
      <c r="A77" s="12" t="s">
        <v>897</v>
      </c>
      <c r="B77" s="12" t="s">
        <v>898</v>
      </c>
      <c r="C77" s="22" t="s">
        <v>899</v>
      </c>
      <c r="D77" s="22" t="s">
        <v>900</v>
      </c>
      <c r="E77" s="62"/>
      <c r="F77" s="22" t="s">
        <v>901</v>
      </c>
      <c r="G77" s="62"/>
      <c r="H77" s="22">
        <v>0.0</v>
      </c>
      <c r="I77" s="62"/>
      <c r="J77" s="62"/>
      <c r="K77" s="62"/>
    </row>
    <row r="78" ht="13.5" customHeight="1">
      <c r="C78" s="22" t="s">
        <v>902</v>
      </c>
      <c r="D78" s="22" t="s">
        <v>903</v>
      </c>
      <c r="E78" s="62"/>
      <c r="F78" s="22" t="s">
        <v>901</v>
      </c>
      <c r="G78" s="62"/>
      <c r="H78" s="22">
        <v>100.0</v>
      </c>
      <c r="I78" s="62"/>
      <c r="J78" s="62"/>
      <c r="K78" s="62"/>
    </row>
    <row r="79" ht="13.5" customHeight="1">
      <c r="C79" s="22" t="s">
        <v>904</v>
      </c>
      <c r="D79" s="22" t="s">
        <v>905</v>
      </c>
      <c r="E79" s="62"/>
      <c r="F79" s="22" t="s">
        <v>901</v>
      </c>
      <c r="G79" s="62"/>
      <c r="H79" s="22">
        <v>200.0</v>
      </c>
      <c r="I79" s="62"/>
      <c r="J79" s="62"/>
      <c r="K79" s="62"/>
    </row>
    <row r="80" ht="13.5" customHeight="1">
      <c r="C80" s="22" t="s">
        <v>906</v>
      </c>
      <c r="D80" s="22" t="s">
        <v>907</v>
      </c>
      <c r="E80" s="62"/>
      <c r="F80" s="22" t="s">
        <v>901</v>
      </c>
      <c r="G80" s="62"/>
      <c r="H80" s="22">
        <v>300.0</v>
      </c>
      <c r="I80" s="62"/>
      <c r="J80" s="62"/>
      <c r="K80" s="62"/>
    </row>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5">
    <mergeCell ref="A1:K1"/>
    <mergeCell ref="A4:A76"/>
    <mergeCell ref="B4:B76"/>
    <mergeCell ref="A77:A80"/>
    <mergeCell ref="B77:B80"/>
  </mergeCells>
  <printOptions/>
  <pageMargins bottom="0.75" footer="0.0" header="0.0" left="0.7" right="0.7" top="0.75"/>
  <pageSetup paperSize="9" orientation="portrait"/>
  <drawing r:id="rId1"/>
</worksheet>
</file>